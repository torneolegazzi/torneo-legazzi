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gianlucafinetti/Library/CloudStorage/GoogleDrive-gianlucafinetti821@gmail.com/Il mio Drive/Torneo Legazzi/__pycache__/"/>
    </mc:Choice>
  </mc:AlternateContent>
  <xr:revisionPtr revIDLastSave="0" documentId="8_{63640BB3-DE41-2B49-9211-CEFA27F7C16E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Andata" sheetId="1" r:id="rId1"/>
    <sheet name="Ritorno" sheetId="2" r:id="rId2"/>
    <sheet name="Classifica" sheetId="3" r:id="rId3"/>
    <sheet name="Dati" sheetId="4" state="hidden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81" i="4" l="1"/>
  <c r="C381" i="4"/>
  <c r="B381" i="4"/>
  <c r="G381" i="4" s="1"/>
  <c r="A381" i="4"/>
  <c r="D380" i="4"/>
  <c r="C380" i="4"/>
  <c r="B380" i="4"/>
  <c r="A380" i="4"/>
  <c r="F379" i="4"/>
  <c r="D379" i="4"/>
  <c r="C379" i="4"/>
  <c r="B379" i="4"/>
  <c r="E379" i="4" s="1"/>
  <c r="A379" i="4"/>
  <c r="G378" i="4"/>
  <c r="F378" i="4"/>
  <c r="E378" i="4"/>
  <c r="D378" i="4"/>
  <c r="C378" i="4"/>
  <c r="B378" i="4"/>
  <c r="A378" i="4"/>
  <c r="G377" i="4"/>
  <c r="F377" i="4"/>
  <c r="E377" i="4"/>
  <c r="D377" i="4"/>
  <c r="C377" i="4"/>
  <c r="B377" i="4"/>
  <c r="A377" i="4"/>
  <c r="D376" i="4"/>
  <c r="C376" i="4"/>
  <c r="G376" i="4" s="1"/>
  <c r="B376" i="4"/>
  <c r="A376" i="4"/>
  <c r="F375" i="4"/>
  <c r="E375" i="4"/>
  <c r="D375" i="4"/>
  <c r="C375" i="4"/>
  <c r="B375" i="4"/>
  <c r="G375" i="4" s="1"/>
  <c r="A375" i="4"/>
  <c r="E374" i="4"/>
  <c r="D374" i="4"/>
  <c r="C374" i="4"/>
  <c r="B374" i="4"/>
  <c r="A374" i="4"/>
  <c r="D373" i="4"/>
  <c r="C373" i="4"/>
  <c r="B373" i="4"/>
  <c r="A373" i="4"/>
  <c r="D372" i="4"/>
  <c r="C372" i="4"/>
  <c r="B372" i="4"/>
  <c r="A372" i="4"/>
  <c r="D371" i="4"/>
  <c r="C371" i="4"/>
  <c r="B371" i="4"/>
  <c r="E371" i="4" s="1"/>
  <c r="A371" i="4"/>
  <c r="G370" i="4"/>
  <c r="F370" i="4"/>
  <c r="E370" i="4"/>
  <c r="D370" i="4"/>
  <c r="C370" i="4"/>
  <c r="B370" i="4"/>
  <c r="A370" i="4"/>
  <c r="G369" i="4"/>
  <c r="F369" i="4"/>
  <c r="E369" i="4"/>
  <c r="D369" i="4"/>
  <c r="C369" i="4"/>
  <c r="B369" i="4"/>
  <c r="A369" i="4"/>
  <c r="D368" i="4"/>
  <c r="C368" i="4"/>
  <c r="G368" i="4" s="1"/>
  <c r="B368" i="4"/>
  <c r="A368" i="4"/>
  <c r="E367" i="4"/>
  <c r="D367" i="4"/>
  <c r="C367" i="4"/>
  <c r="B367" i="4"/>
  <c r="G367" i="4" s="1"/>
  <c r="A367" i="4"/>
  <c r="D366" i="4"/>
  <c r="C366" i="4"/>
  <c r="B366" i="4"/>
  <c r="E366" i="4" s="1"/>
  <c r="A366" i="4"/>
  <c r="D365" i="4"/>
  <c r="C365" i="4"/>
  <c r="B365" i="4"/>
  <c r="A365" i="4"/>
  <c r="G364" i="4"/>
  <c r="D364" i="4"/>
  <c r="C364" i="4"/>
  <c r="B364" i="4"/>
  <c r="A364" i="4"/>
  <c r="G363" i="4"/>
  <c r="F363" i="4"/>
  <c r="D363" i="4"/>
  <c r="C363" i="4"/>
  <c r="B363" i="4"/>
  <c r="E363" i="4" s="1"/>
  <c r="A363" i="4"/>
  <c r="G362" i="4"/>
  <c r="F362" i="4"/>
  <c r="E362" i="4"/>
  <c r="D362" i="4"/>
  <c r="C362" i="4"/>
  <c r="B362" i="4"/>
  <c r="A362" i="4"/>
  <c r="G361" i="4"/>
  <c r="F361" i="4"/>
  <c r="E361" i="4"/>
  <c r="D361" i="4"/>
  <c r="C361" i="4"/>
  <c r="B361" i="4"/>
  <c r="A361" i="4"/>
  <c r="F360" i="4"/>
  <c r="E360" i="4"/>
  <c r="D360" i="4"/>
  <c r="C360" i="4"/>
  <c r="G360" i="4" s="1"/>
  <c r="B360" i="4"/>
  <c r="A360" i="4"/>
  <c r="D359" i="4"/>
  <c r="C359" i="4"/>
  <c r="F359" i="4" s="1"/>
  <c r="B359" i="4"/>
  <c r="A359" i="4"/>
  <c r="E358" i="4"/>
  <c r="D358" i="4"/>
  <c r="C358" i="4"/>
  <c r="B358" i="4"/>
  <c r="A358" i="4"/>
  <c r="D357" i="4"/>
  <c r="C357" i="4"/>
  <c r="B357" i="4"/>
  <c r="A357" i="4"/>
  <c r="D356" i="4"/>
  <c r="C356" i="4"/>
  <c r="B356" i="4"/>
  <c r="G356" i="4" s="1"/>
  <c r="A356" i="4"/>
  <c r="D355" i="4"/>
  <c r="C355" i="4"/>
  <c r="B355" i="4"/>
  <c r="E355" i="4" s="1"/>
  <c r="A355" i="4"/>
  <c r="G354" i="4"/>
  <c r="F354" i="4"/>
  <c r="E354" i="4"/>
  <c r="D354" i="4"/>
  <c r="C354" i="4"/>
  <c r="B354" i="4"/>
  <c r="A354" i="4"/>
  <c r="G353" i="4"/>
  <c r="F353" i="4"/>
  <c r="E353" i="4"/>
  <c r="D353" i="4"/>
  <c r="C353" i="4"/>
  <c r="B353" i="4"/>
  <c r="A353" i="4"/>
  <c r="D352" i="4"/>
  <c r="C352" i="4"/>
  <c r="F352" i="4" s="1"/>
  <c r="B352" i="4"/>
  <c r="A352" i="4"/>
  <c r="D351" i="4"/>
  <c r="C351" i="4"/>
  <c r="B351" i="4"/>
  <c r="F351" i="4" s="1"/>
  <c r="A351" i="4"/>
  <c r="D350" i="4"/>
  <c r="C350" i="4"/>
  <c r="B350" i="4"/>
  <c r="A350" i="4"/>
  <c r="D349" i="4"/>
  <c r="C349" i="4"/>
  <c r="B349" i="4"/>
  <c r="A349" i="4"/>
  <c r="G348" i="4"/>
  <c r="D348" i="4"/>
  <c r="C348" i="4"/>
  <c r="B348" i="4"/>
  <c r="A348" i="4"/>
  <c r="G347" i="4"/>
  <c r="F347" i="4"/>
  <c r="D347" i="4"/>
  <c r="C347" i="4"/>
  <c r="B347" i="4"/>
  <c r="E347" i="4" s="1"/>
  <c r="A347" i="4"/>
  <c r="G346" i="4"/>
  <c r="F346" i="4"/>
  <c r="E346" i="4"/>
  <c r="D346" i="4"/>
  <c r="C346" i="4"/>
  <c r="B346" i="4"/>
  <c r="A346" i="4"/>
  <c r="G345" i="4"/>
  <c r="F345" i="4"/>
  <c r="E345" i="4"/>
  <c r="D345" i="4"/>
  <c r="C345" i="4"/>
  <c r="B345" i="4"/>
  <c r="A345" i="4"/>
  <c r="D344" i="4"/>
  <c r="C344" i="4"/>
  <c r="E344" i="4" s="1"/>
  <c r="B344" i="4"/>
  <c r="A344" i="4"/>
  <c r="F343" i="4"/>
  <c r="D343" i="4"/>
  <c r="C343" i="4"/>
  <c r="B343" i="4"/>
  <c r="G343" i="4" s="1"/>
  <c r="A343" i="4"/>
  <c r="D342" i="4"/>
  <c r="C342" i="4"/>
  <c r="B342" i="4"/>
  <c r="A342" i="4"/>
  <c r="D341" i="4"/>
  <c r="C341" i="4"/>
  <c r="B341" i="4"/>
  <c r="A341" i="4"/>
  <c r="D340" i="4"/>
  <c r="C340" i="4"/>
  <c r="B340" i="4"/>
  <c r="A340" i="4"/>
  <c r="D339" i="4"/>
  <c r="C339" i="4"/>
  <c r="B339" i="4"/>
  <c r="E339" i="4" s="1"/>
  <c r="A339" i="4"/>
  <c r="G338" i="4"/>
  <c r="F338" i="4"/>
  <c r="E338" i="4"/>
  <c r="D338" i="4"/>
  <c r="C338" i="4"/>
  <c r="B338" i="4"/>
  <c r="A338" i="4"/>
  <c r="G337" i="4"/>
  <c r="F337" i="4"/>
  <c r="E337" i="4"/>
  <c r="D337" i="4"/>
  <c r="C337" i="4"/>
  <c r="B337" i="4"/>
  <c r="A337" i="4"/>
  <c r="G336" i="4"/>
  <c r="F336" i="4"/>
  <c r="D336" i="4"/>
  <c r="C336" i="4"/>
  <c r="E336" i="4" s="1"/>
  <c r="B336" i="4"/>
  <c r="A336" i="4"/>
  <c r="E335" i="4"/>
  <c r="D335" i="4"/>
  <c r="C335" i="4"/>
  <c r="F335" i="4" s="1"/>
  <c r="B335" i="4"/>
  <c r="A335" i="4"/>
  <c r="D334" i="4"/>
  <c r="C334" i="4"/>
  <c r="B334" i="4"/>
  <c r="A334" i="4"/>
  <c r="D333" i="4"/>
  <c r="C333" i="4"/>
  <c r="B333" i="4"/>
  <c r="A333" i="4"/>
  <c r="D332" i="4"/>
  <c r="C332" i="4"/>
  <c r="B332" i="4"/>
  <c r="A332" i="4"/>
  <c r="F331" i="4"/>
  <c r="D331" i="4"/>
  <c r="C331" i="4"/>
  <c r="B331" i="4"/>
  <c r="E331" i="4" s="1"/>
  <c r="A331" i="4"/>
  <c r="G330" i="4"/>
  <c r="F330" i="4"/>
  <c r="E330" i="4"/>
  <c r="D330" i="4"/>
  <c r="C330" i="4"/>
  <c r="B330" i="4"/>
  <c r="A330" i="4"/>
  <c r="G329" i="4"/>
  <c r="F329" i="4"/>
  <c r="E329" i="4"/>
  <c r="D329" i="4"/>
  <c r="C329" i="4"/>
  <c r="B329" i="4"/>
  <c r="A329" i="4"/>
  <c r="G328" i="4"/>
  <c r="F328" i="4"/>
  <c r="E328" i="4"/>
  <c r="D328" i="4"/>
  <c r="C328" i="4"/>
  <c r="B328" i="4"/>
  <c r="A328" i="4"/>
  <c r="D327" i="4"/>
  <c r="C327" i="4"/>
  <c r="B327" i="4"/>
  <c r="A327" i="4"/>
  <c r="D326" i="4"/>
  <c r="C326" i="4"/>
  <c r="E326" i="4" s="1"/>
  <c r="B326" i="4"/>
  <c r="A326" i="4"/>
  <c r="D325" i="4"/>
  <c r="C325" i="4"/>
  <c r="B325" i="4"/>
  <c r="A325" i="4"/>
  <c r="D324" i="4"/>
  <c r="C324" i="4"/>
  <c r="B324" i="4"/>
  <c r="A324" i="4"/>
  <c r="G323" i="4"/>
  <c r="D323" i="4"/>
  <c r="C323" i="4"/>
  <c r="B323" i="4"/>
  <c r="E323" i="4" s="1"/>
  <c r="A323" i="4"/>
  <c r="G322" i="4"/>
  <c r="F322" i="4"/>
  <c r="E322" i="4"/>
  <c r="D322" i="4"/>
  <c r="C322" i="4"/>
  <c r="B322" i="4"/>
  <c r="A322" i="4"/>
  <c r="G321" i="4"/>
  <c r="F321" i="4"/>
  <c r="E321" i="4"/>
  <c r="D321" i="4"/>
  <c r="C321" i="4"/>
  <c r="B321" i="4"/>
  <c r="A321" i="4"/>
  <c r="G320" i="4"/>
  <c r="E320" i="4"/>
  <c r="D320" i="4"/>
  <c r="C320" i="4"/>
  <c r="F320" i="4" s="1"/>
  <c r="B320" i="4"/>
  <c r="A320" i="4"/>
  <c r="D319" i="4"/>
  <c r="C319" i="4"/>
  <c r="B319" i="4"/>
  <c r="A319" i="4"/>
  <c r="D318" i="4"/>
  <c r="C318" i="4"/>
  <c r="B318" i="4"/>
  <c r="A318" i="4"/>
  <c r="D317" i="4"/>
  <c r="C317" i="4"/>
  <c r="B317" i="4"/>
  <c r="A317" i="4"/>
  <c r="D316" i="4"/>
  <c r="C316" i="4"/>
  <c r="B316" i="4"/>
  <c r="A316" i="4"/>
  <c r="G315" i="4"/>
  <c r="F315" i="4"/>
  <c r="D315" i="4"/>
  <c r="C315" i="4"/>
  <c r="B315" i="4"/>
  <c r="E315" i="4" s="1"/>
  <c r="A315" i="4"/>
  <c r="G314" i="4"/>
  <c r="F314" i="4"/>
  <c r="E314" i="4"/>
  <c r="D314" i="4"/>
  <c r="C314" i="4"/>
  <c r="B314" i="4"/>
  <c r="A314" i="4"/>
  <c r="G313" i="4"/>
  <c r="F313" i="4"/>
  <c r="E313" i="4"/>
  <c r="D313" i="4"/>
  <c r="C313" i="4"/>
  <c r="B313" i="4"/>
  <c r="A313" i="4"/>
  <c r="D312" i="4"/>
  <c r="C312" i="4"/>
  <c r="G312" i="4" s="1"/>
  <c r="B312" i="4"/>
  <c r="A312" i="4"/>
  <c r="D311" i="4"/>
  <c r="C311" i="4"/>
  <c r="B311" i="4"/>
  <c r="G311" i="4" s="1"/>
  <c r="A311" i="4"/>
  <c r="E310" i="4"/>
  <c r="D310" i="4"/>
  <c r="C310" i="4"/>
  <c r="B310" i="4"/>
  <c r="A310" i="4"/>
  <c r="D309" i="4"/>
  <c r="C309" i="4"/>
  <c r="B309" i="4"/>
  <c r="A309" i="4"/>
  <c r="D308" i="4"/>
  <c r="C308" i="4"/>
  <c r="B308" i="4"/>
  <c r="A308" i="4"/>
  <c r="G307" i="4"/>
  <c r="F307" i="4"/>
  <c r="D307" i="4"/>
  <c r="C307" i="4"/>
  <c r="B307" i="4"/>
  <c r="E307" i="4" s="1"/>
  <c r="A307" i="4"/>
  <c r="G306" i="4"/>
  <c r="F306" i="4"/>
  <c r="E306" i="4"/>
  <c r="D306" i="4"/>
  <c r="C306" i="4"/>
  <c r="B306" i="4"/>
  <c r="A306" i="4"/>
  <c r="G305" i="4"/>
  <c r="F305" i="4"/>
  <c r="E305" i="4"/>
  <c r="D305" i="4"/>
  <c r="C305" i="4"/>
  <c r="B305" i="4"/>
  <c r="A305" i="4"/>
  <c r="D304" i="4"/>
  <c r="C304" i="4"/>
  <c r="G304" i="4" s="1"/>
  <c r="B304" i="4"/>
  <c r="A304" i="4"/>
  <c r="D303" i="4"/>
  <c r="C303" i="4"/>
  <c r="B303" i="4"/>
  <c r="A303" i="4"/>
  <c r="E302" i="4"/>
  <c r="D302" i="4"/>
  <c r="C302" i="4"/>
  <c r="B302" i="4"/>
  <c r="A302" i="4"/>
  <c r="D301" i="4"/>
  <c r="C301" i="4"/>
  <c r="B301" i="4"/>
  <c r="A301" i="4"/>
  <c r="G300" i="4"/>
  <c r="D300" i="4"/>
  <c r="C300" i="4"/>
  <c r="B300" i="4"/>
  <c r="A300" i="4"/>
  <c r="G299" i="4"/>
  <c r="F299" i="4"/>
  <c r="D299" i="4"/>
  <c r="C299" i="4"/>
  <c r="B299" i="4"/>
  <c r="E299" i="4" s="1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D296" i="4"/>
  <c r="C296" i="4"/>
  <c r="G296" i="4" s="1"/>
  <c r="B296" i="4"/>
  <c r="A296" i="4"/>
  <c r="D295" i="4"/>
  <c r="C295" i="4"/>
  <c r="B295" i="4"/>
  <c r="G295" i="4" s="1"/>
  <c r="A295" i="4"/>
  <c r="E294" i="4"/>
  <c r="D294" i="4"/>
  <c r="C294" i="4"/>
  <c r="B294" i="4"/>
  <c r="A294" i="4"/>
  <c r="D293" i="4"/>
  <c r="C293" i="4"/>
  <c r="B293" i="4"/>
  <c r="A293" i="4"/>
  <c r="G292" i="4"/>
  <c r="D292" i="4"/>
  <c r="C292" i="4"/>
  <c r="B292" i="4"/>
  <c r="A292" i="4"/>
  <c r="G291" i="4"/>
  <c r="F291" i="4"/>
  <c r="D291" i="4"/>
  <c r="C291" i="4"/>
  <c r="B291" i="4"/>
  <c r="E291" i="4" s="1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D288" i="4"/>
  <c r="C288" i="4"/>
  <c r="F288" i="4" s="1"/>
  <c r="B288" i="4"/>
  <c r="A288" i="4"/>
  <c r="F287" i="4"/>
  <c r="E287" i="4"/>
  <c r="D287" i="4"/>
  <c r="C287" i="4"/>
  <c r="B287" i="4"/>
  <c r="A287" i="4"/>
  <c r="D286" i="4"/>
  <c r="C286" i="4"/>
  <c r="E286" i="4" s="1"/>
  <c r="B286" i="4"/>
  <c r="A286" i="4"/>
  <c r="D285" i="4"/>
  <c r="C285" i="4"/>
  <c r="B285" i="4"/>
  <c r="A285" i="4"/>
  <c r="G284" i="4"/>
  <c r="D284" i="4"/>
  <c r="C284" i="4"/>
  <c r="B284" i="4"/>
  <c r="A284" i="4"/>
  <c r="D283" i="4"/>
  <c r="C283" i="4"/>
  <c r="B283" i="4"/>
  <c r="E283" i="4" s="1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D280" i="4"/>
  <c r="C280" i="4"/>
  <c r="E280" i="4" s="1"/>
  <c r="B280" i="4"/>
  <c r="A280" i="4"/>
  <c r="F279" i="4"/>
  <c r="E279" i="4"/>
  <c r="D279" i="4"/>
  <c r="C279" i="4"/>
  <c r="B279" i="4"/>
  <c r="G279" i="4" s="1"/>
  <c r="A279" i="4"/>
  <c r="D278" i="4"/>
  <c r="C278" i="4"/>
  <c r="B278" i="4"/>
  <c r="A278" i="4"/>
  <c r="D277" i="4"/>
  <c r="C277" i="4"/>
  <c r="B277" i="4"/>
  <c r="A277" i="4"/>
  <c r="D276" i="4"/>
  <c r="C276" i="4"/>
  <c r="G276" i="4" s="1"/>
  <c r="B276" i="4"/>
  <c r="A276" i="4"/>
  <c r="D275" i="4"/>
  <c r="C275" i="4"/>
  <c r="B275" i="4"/>
  <c r="E275" i="4" s="1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F271" i="4"/>
  <c r="E271" i="4"/>
  <c r="D271" i="4"/>
  <c r="C271" i="4"/>
  <c r="B271" i="4"/>
  <c r="A271" i="4"/>
  <c r="D270" i="4"/>
  <c r="C270" i="4"/>
  <c r="B270" i="4"/>
  <c r="A270" i="4"/>
  <c r="D269" i="4"/>
  <c r="C269" i="4"/>
  <c r="B269" i="4"/>
  <c r="A269" i="4"/>
  <c r="D268" i="4"/>
  <c r="C268" i="4"/>
  <c r="B268" i="4"/>
  <c r="A268" i="4"/>
  <c r="D267" i="4"/>
  <c r="C267" i="4"/>
  <c r="B267" i="4"/>
  <c r="E267" i="4" s="1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D263" i="4"/>
  <c r="C263" i="4"/>
  <c r="F263" i="4" s="1"/>
  <c r="B263" i="4"/>
  <c r="A263" i="4"/>
  <c r="D262" i="4"/>
  <c r="C262" i="4"/>
  <c r="B262" i="4"/>
  <c r="A262" i="4"/>
  <c r="D261" i="4"/>
  <c r="C261" i="4"/>
  <c r="B261" i="4"/>
  <c r="A261" i="4"/>
  <c r="D260" i="4"/>
  <c r="C260" i="4"/>
  <c r="B260" i="4"/>
  <c r="A260" i="4"/>
  <c r="D259" i="4"/>
  <c r="C259" i="4"/>
  <c r="B259" i="4"/>
  <c r="E259" i="4" s="1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D255" i="4"/>
  <c r="C255" i="4"/>
  <c r="B255" i="4"/>
  <c r="A255" i="4"/>
  <c r="D254" i="4"/>
  <c r="C254" i="4"/>
  <c r="B254" i="4"/>
  <c r="A254" i="4"/>
  <c r="D253" i="4"/>
  <c r="C253" i="4"/>
  <c r="B253" i="4"/>
  <c r="A253" i="4"/>
  <c r="D252" i="4"/>
  <c r="C252" i="4"/>
  <c r="B252" i="4"/>
  <c r="A252" i="4"/>
  <c r="G251" i="4"/>
  <c r="F251" i="4"/>
  <c r="D251" i="4"/>
  <c r="C251" i="4"/>
  <c r="B251" i="4"/>
  <c r="E251" i="4" s="1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D248" i="4"/>
  <c r="C248" i="4"/>
  <c r="B248" i="4"/>
  <c r="A248" i="4"/>
  <c r="D247" i="4"/>
  <c r="C247" i="4"/>
  <c r="B247" i="4"/>
  <c r="A247" i="4"/>
  <c r="E246" i="4"/>
  <c r="D246" i="4"/>
  <c r="C246" i="4"/>
  <c r="B246" i="4"/>
  <c r="A246" i="4"/>
  <c r="D245" i="4"/>
  <c r="C245" i="4"/>
  <c r="B245" i="4"/>
  <c r="A245" i="4"/>
  <c r="D244" i="4"/>
  <c r="C244" i="4"/>
  <c r="B244" i="4"/>
  <c r="A244" i="4"/>
  <c r="G243" i="4"/>
  <c r="F243" i="4"/>
  <c r="D243" i="4"/>
  <c r="C243" i="4"/>
  <c r="B243" i="4"/>
  <c r="E243" i="4" s="1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D240" i="4"/>
  <c r="C240" i="4"/>
  <c r="B240" i="4"/>
  <c r="A240" i="4"/>
  <c r="D239" i="4"/>
  <c r="C239" i="4"/>
  <c r="B239" i="4"/>
  <c r="G239" i="4" s="1"/>
  <c r="A239" i="4"/>
  <c r="E238" i="4"/>
  <c r="D238" i="4"/>
  <c r="C238" i="4"/>
  <c r="B238" i="4"/>
  <c r="A238" i="4"/>
  <c r="D237" i="4"/>
  <c r="C237" i="4"/>
  <c r="B237" i="4"/>
  <c r="A237" i="4"/>
  <c r="G236" i="4"/>
  <c r="D236" i="4"/>
  <c r="C236" i="4"/>
  <c r="B236" i="4"/>
  <c r="A236" i="4"/>
  <c r="G235" i="4"/>
  <c r="F235" i="4"/>
  <c r="D235" i="4"/>
  <c r="C235" i="4"/>
  <c r="B235" i="4"/>
  <c r="E235" i="4" s="1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D232" i="4"/>
  <c r="C232" i="4"/>
  <c r="B232" i="4"/>
  <c r="A232" i="4"/>
  <c r="D231" i="4"/>
  <c r="C231" i="4"/>
  <c r="B231" i="4"/>
  <c r="A231" i="4"/>
  <c r="E230" i="4"/>
  <c r="D230" i="4"/>
  <c r="C230" i="4"/>
  <c r="B230" i="4"/>
  <c r="A230" i="4"/>
  <c r="D229" i="4"/>
  <c r="C229" i="4"/>
  <c r="B229" i="4"/>
  <c r="A229" i="4"/>
  <c r="G228" i="4"/>
  <c r="D228" i="4"/>
  <c r="C228" i="4"/>
  <c r="B228" i="4"/>
  <c r="A228" i="4"/>
  <c r="G227" i="4"/>
  <c r="F227" i="4"/>
  <c r="D227" i="4"/>
  <c r="C227" i="4"/>
  <c r="B227" i="4"/>
  <c r="E227" i="4" s="1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D224" i="4"/>
  <c r="C224" i="4"/>
  <c r="B224" i="4"/>
  <c r="A224" i="4"/>
  <c r="F223" i="4"/>
  <c r="E223" i="4"/>
  <c r="D223" i="4"/>
  <c r="C223" i="4"/>
  <c r="B223" i="4"/>
  <c r="A223" i="4"/>
  <c r="D222" i="4"/>
  <c r="C222" i="4"/>
  <c r="E222" i="4" s="1"/>
  <c r="B222" i="4"/>
  <c r="A222" i="4"/>
  <c r="D221" i="4"/>
  <c r="C221" i="4"/>
  <c r="B221" i="4"/>
  <c r="A221" i="4"/>
  <c r="G220" i="4"/>
  <c r="D220" i="4"/>
  <c r="C220" i="4"/>
  <c r="B220" i="4"/>
  <c r="A220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D216" i="4"/>
  <c r="C216" i="4"/>
  <c r="E216" i="4" s="1"/>
  <c r="B216" i="4"/>
  <c r="A216" i="4"/>
  <c r="F215" i="4"/>
  <c r="E215" i="4"/>
  <c r="D215" i="4"/>
  <c r="C215" i="4"/>
  <c r="B215" i="4"/>
  <c r="G215" i="4" s="1"/>
  <c r="A215" i="4"/>
  <c r="D214" i="4"/>
  <c r="C214" i="4"/>
  <c r="B214" i="4"/>
  <c r="A214" i="4"/>
  <c r="D213" i="4"/>
  <c r="C213" i="4"/>
  <c r="B213" i="4"/>
  <c r="A213" i="4"/>
  <c r="D212" i="4"/>
  <c r="C212" i="4"/>
  <c r="G212" i="4" s="1"/>
  <c r="B212" i="4"/>
  <c r="A212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F207" i="4"/>
  <c r="E207" i="4"/>
  <c r="D207" i="4"/>
  <c r="C207" i="4"/>
  <c r="B207" i="4"/>
  <c r="A207" i="4"/>
  <c r="D206" i="4"/>
  <c r="C206" i="4"/>
  <c r="B206" i="4"/>
  <c r="A206" i="4"/>
  <c r="D205" i="4"/>
  <c r="C205" i="4"/>
  <c r="B205" i="4"/>
  <c r="A205" i="4"/>
  <c r="G204" i="4"/>
  <c r="D204" i="4"/>
  <c r="C204" i="4"/>
  <c r="B204" i="4"/>
  <c r="A204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D199" i="4"/>
  <c r="C199" i="4"/>
  <c r="B199" i="4"/>
  <c r="A199" i="4"/>
  <c r="D198" i="4"/>
  <c r="C198" i="4"/>
  <c r="B198" i="4"/>
  <c r="A198" i="4"/>
  <c r="D197" i="4"/>
  <c r="C197" i="4"/>
  <c r="B197" i="4"/>
  <c r="A197" i="4"/>
  <c r="D196" i="4"/>
  <c r="C196" i="4"/>
  <c r="B196" i="4"/>
  <c r="A196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E191" i="4"/>
  <c r="D191" i="4"/>
  <c r="C191" i="4"/>
  <c r="B191" i="4"/>
  <c r="A191" i="4"/>
  <c r="D190" i="4"/>
  <c r="C190" i="4"/>
  <c r="B190" i="4"/>
  <c r="A190" i="4"/>
  <c r="D189" i="4"/>
  <c r="C189" i="4"/>
  <c r="B189" i="4"/>
  <c r="A189" i="4"/>
  <c r="D188" i="4"/>
  <c r="C188" i="4"/>
  <c r="B188" i="4"/>
  <c r="A188" i="4"/>
  <c r="G187" i="4"/>
  <c r="F187" i="4"/>
  <c r="D187" i="4"/>
  <c r="C187" i="4"/>
  <c r="B187" i="4"/>
  <c r="E187" i="4" s="1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D184" i="4"/>
  <c r="C184" i="4"/>
  <c r="B184" i="4"/>
  <c r="A184" i="4"/>
  <c r="D183" i="4"/>
  <c r="C183" i="4"/>
  <c r="B183" i="4"/>
  <c r="A183" i="4"/>
  <c r="E182" i="4"/>
  <c r="D182" i="4"/>
  <c r="C182" i="4"/>
  <c r="B182" i="4"/>
  <c r="A182" i="4"/>
  <c r="D181" i="4"/>
  <c r="C181" i="4"/>
  <c r="B181" i="4"/>
  <c r="A181" i="4"/>
  <c r="D180" i="4"/>
  <c r="C180" i="4"/>
  <c r="B180" i="4"/>
  <c r="A180" i="4"/>
  <c r="G179" i="4"/>
  <c r="F179" i="4"/>
  <c r="D179" i="4"/>
  <c r="C179" i="4"/>
  <c r="B179" i="4"/>
  <c r="E179" i="4" s="1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E176" i="4"/>
  <c r="D176" i="4"/>
  <c r="C176" i="4"/>
  <c r="B176" i="4"/>
  <c r="A176" i="4"/>
  <c r="D175" i="4"/>
  <c r="C175" i="4"/>
  <c r="B175" i="4"/>
  <c r="A175" i="4"/>
  <c r="D174" i="4"/>
  <c r="C174" i="4"/>
  <c r="B174" i="4"/>
  <c r="A174" i="4"/>
  <c r="E173" i="4"/>
  <c r="D173" i="4"/>
  <c r="C173" i="4"/>
  <c r="B173" i="4"/>
  <c r="A173" i="4"/>
  <c r="D172" i="4"/>
  <c r="C172" i="4"/>
  <c r="B172" i="4"/>
  <c r="A172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F167" i="4"/>
  <c r="E167" i="4"/>
  <c r="D167" i="4"/>
  <c r="C167" i="4"/>
  <c r="B167" i="4"/>
  <c r="A167" i="4"/>
  <c r="D166" i="4"/>
  <c r="C166" i="4"/>
  <c r="B166" i="4"/>
  <c r="A166" i="4"/>
  <c r="E165" i="4"/>
  <c r="D165" i="4"/>
  <c r="C165" i="4"/>
  <c r="B165" i="4"/>
  <c r="A165" i="4"/>
  <c r="D164" i="4"/>
  <c r="C164" i="4"/>
  <c r="G164" i="4" s="1"/>
  <c r="B164" i="4"/>
  <c r="A164" i="4"/>
  <c r="D163" i="4"/>
  <c r="C163" i="4"/>
  <c r="B163" i="4"/>
  <c r="A163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F158" i="4"/>
  <c r="E158" i="4"/>
  <c r="D158" i="4"/>
  <c r="C158" i="4"/>
  <c r="B158" i="4"/>
  <c r="A158" i="4"/>
  <c r="D157" i="4"/>
  <c r="C157" i="4"/>
  <c r="B157" i="4"/>
  <c r="A157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D152" i="4"/>
  <c r="C152" i="4"/>
  <c r="F152" i="4" s="1"/>
  <c r="B152" i="4"/>
  <c r="G152" i="4" s="1"/>
  <c r="A152" i="4"/>
  <c r="D151" i="4"/>
  <c r="C151" i="4"/>
  <c r="B151" i="4"/>
  <c r="A151" i="4"/>
  <c r="D150" i="4"/>
  <c r="C150" i="4"/>
  <c r="B150" i="4"/>
  <c r="A150" i="4"/>
  <c r="D149" i="4"/>
  <c r="C149" i="4"/>
  <c r="B149" i="4"/>
  <c r="A149" i="4"/>
  <c r="G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F144" i="4"/>
  <c r="D144" i="4"/>
  <c r="C144" i="4"/>
  <c r="E144" i="4" s="1"/>
  <c r="B144" i="4"/>
  <c r="G144" i="4" s="1"/>
  <c r="A144" i="4"/>
  <c r="E143" i="4"/>
  <c r="D143" i="4"/>
  <c r="C143" i="4"/>
  <c r="B143" i="4"/>
  <c r="A143" i="4"/>
  <c r="D142" i="4"/>
  <c r="C142" i="4"/>
  <c r="B142" i="4"/>
  <c r="A142" i="4"/>
  <c r="D141" i="4"/>
  <c r="C141" i="4"/>
  <c r="B141" i="4"/>
  <c r="A141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F136" i="4"/>
  <c r="E136" i="4"/>
  <c r="D136" i="4"/>
  <c r="C136" i="4"/>
  <c r="B136" i="4"/>
  <c r="A136" i="4"/>
  <c r="D135" i="4"/>
  <c r="C135" i="4"/>
  <c r="B135" i="4"/>
  <c r="A135" i="4"/>
  <c r="D134" i="4"/>
  <c r="C134" i="4"/>
  <c r="B134" i="4"/>
  <c r="A134" i="4"/>
  <c r="D133" i="4"/>
  <c r="C133" i="4"/>
  <c r="B133" i="4"/>
  <c r="A133" i="4"/>
  <c r="G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D128" i="4"/>
  <c r="C128" i="4"/>
  <c r="F128" i="4" s="1"/>
  <c r="B128" i="4"/>
  <c r="G128" i="4" s="1"/>
  <c r="A128" i="4"/>
  <c r="E127" i="4"/>
  <c r="D127" i="4"/>
  <c r="C127" i="4"/>
  <c r="B127" i="4"/>
  <c r="A127" i="4"/>
  <c r="D126" i="4"/>
  <c r="C126" i="4"/>
  <c r="B126" i="4"/>
  <c r="A126" i="4"/>
  <c r="D125" i="4"/>
  <c r="C125" i="4"/>
  <c r="B125" i="4"/>
  <c r="A125" i="4"/>
  <c r="G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F120" i="4"/>
  <c r="E120" i="4"/>
  <c r="D120" i="4"/>
  <c r="C120" i="4"/>
  <c r="B120" i="4"/>
  <c r="G120" i="4" s="1"/>
  <c r="A120" i="4"/>
  <c r="D119" i="4"/>
  <c r="C119" i="4"/>
  <c r="E119" i="4" s="1"/>
  <c r="B119" i="4"/>
  <c r="A119" i="4"/>
  <c r="D118" i="4"/>
  <c r="C118" i="4"/>
  <c r="B118" i="4"/>
  <c r="A118" i="4"/>
  <c r="D117" i="4"/>
  <c r="C117" i="4"/>
  <c r="B117" i="4"/>
  <c r="A117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D112" i="4"/>
  <c r="C112" i="4"/>
  <c r="B112" i="4"/>
  <c r="A112" i="4"/>
  <c r="D111" i="4"/>
  <c r="C111" i="4"/>
  <c r="B111" i="4"/>
  <c r="A111" i="4"/>
  <c r="D110" i="4"/>
  <c r="C110" i="4"/>
  <c r="B110" i="4"/>
  <c r="A110" i="4"/>
  <c r="D109" i="4"/>
  <c r="C109" i="4"/>
  <c r="B109" i="4"/>
  <c r="A109" i="4"/>
  <c r="D108" i="4"/>
  <c r="C108" i="4"/>
  <c r="B108" i="4"/>
  <c r="E108" i="4" s="1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D104" i="4"/>
  <c r="C104" i="4"/>
  <c r="B104" i="4"/>
  <c r="A104" i="4"/>
  <c r="D103" i="4"/>
  <c r="C103" i="4"/>
  <c r="B103" i="4"/>
  <c r="A103" i="4"/>
  <c r="D102" i="4"/>
  <c r="C102" i="4"/>
  <c r="B102" i="4"/>
  <c r="A102" i="4"/>
  <c r="D101" i="4"/>
  <c r="C101" i="4"/>
  <c r="B101" i="4"/>
  <c r="A101" i="4"/>
  <c r="G100" i="4"/>
  <c r="F100" i="4"/>
  <c r="D100" i="4"/>
  <c r="C100" i="4"/>
  <c r="B100" i="4"/>
  <c r="E100" i="4" s="1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F97" i="4"/>
  <c r="E97" i="4"/>
  <c r="D97" i="4"/>
  <c r="C97" i="4"/>
  <c r="G97" i="4" s="1"/>
  <c r="B97" i="4"/>
  <c r="A97" i="4"/>
  <c r="D96" i="4"/>
  <c r="C96" i="4"/>
  <c r="B96" i="4"/>
  <c r="A96" i="4"/>
  <c r="E95" i="4"/>
  <c r="D95" i="4"/>
  <c r="C95" i="4"/>
  <c r="B95" i="4"/>
  <c r="A95" i="4"/>
  <c r="D94" i="4"/>
  <c r="C94" i="4"/>
  <c r="B94" i="4"/>
  <c r="A94" i="4"/>
  <c r="D93" i="4"/>
  <c r="C93" i="4"/>
  <c r="B93" i="4"/>
  <c r="A93" i="4"/>
  <c r="G92" i="4"/>
  <c r="F92" i="4"/>
  <c r="D92" i="4"/>
  <c r="C92" i="4"/>
  <c r="B92" i="4"/>
  <c r="E92" i="4" s="1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E89" i="4"/>
  <c r="D89" i="4"/>
  <c r="C89" i="4"/>
  <c r="B89" i="4"/>
  <c r="A89" i="4"/>
  <c r="D88" i="4"/>
  <c r="C88" i="4"/>
  <c r="B88" i="4"/>
  <c r="A88" i="4"/>
  <c r="E87" i="4"/>
  <c r="D87" i="4"/>
  <c r="C87" i="4"/>
  <c r="B87" i="4"/>
  <c r="A87" i="4"/>
  <c r="D86" i="4"/>
  <c r="C86" i="4"/>
  <c r="B86" i="4"/>
  <c r="A86" i="4"/>
  <c r="G85" i="4"/>
  <c r="D85" i="4"/>
  <c r="C85" i="4"/>
  <c r="B85" i="4"/>
  <c r="A85" i="4"/>
  <c r="G84" i="4"/>
  <c r="F84" i="4"/>
  <c r="D84" i="4"/>
  <c r="C84" i="4"/>
  <c r="B84" i="4"/>
  <c r="E84" i="4" s="1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D81" i="4"/>
  <c r="C81" i="4"/>
  <c r="B81" i="4"/>
  <c r="A81" i="4"/>
  <c r="D80" i="4"/>
  <c r="C80" i="4"/>
  <c r="B80" i="4"/>
  <c r="A80" i="4"/>
  <c r="E79" i="4"/>
  <c r="D79" i="4"/>
  <c r="C79" i="4"/>
  <c r="B79" i="4"/>
  <c r="A79" i="4"/>
  <c r="D78" i="4"/>
  <c r="C78" i="4"/>
  <c r="B78" i="4"/>
  <c r="A78" i="4"/>
  <c r="G77" i="4"/>
  <c r="D77" i="4"/>
  <c r="C77" i="4"/>
  <c r="B77" i="4"/>
  <c r="A77" i="4"/>
  <c r="G76" i="4"/>
  <c r="F76" i="4"/>
  <c r="D76" i="4"/>
  <c r="C76" i="4"/>
  <c r="B76" i="4"/>
  <c r="E76" i="4" s="1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D73" i="4"/>
  <c r="C73" i="4"/>
  <c r="B73" i="4"/>
  <c r="A73" i="4"/>
  <c r="F72" i="4"/>
  <c r="E72" i="4"/>
  <c r="D72" i="4"/>
  <c r="C72" i="4"/>
  <c r="B72" i="4"/>
  <c r="G72" i="4" s="1"/>
  <c r="A72" i="4"/>
  <c r="E71" i="4"/>
  <c r="D71" i="4"/>
  <c r="C71" i="4"/>
  <c r="B71" i="4"/>
  <c r="A71" i="4"/>
  <c r="D70" i="4"/>
  <c r="C70" i="4"/>
  <c r="B70" i="4"/>
  <c r="A70" i="4"/>
  <c r="G69" i="4"/>
  <c r="D69" i="4"/>
  <c r="C69" i="4"/>
  <c r="B69" i="4"/>
  <c r="A69" i="4"/>
  <c r="F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D65" i="4"/>
  <c r="C65" i="4"/>
  <c r="E65" i="4" s="1"/>
  <c r="B65" i="4"/>
  <c r="A65" i="4"/>
  <c r="F64" i="4"/>
  <c r="E64" i="4"/>
  <c r="D64" i="4"/>
  <c r="C64" i="4"/>
  <c r="B64" i="4"/>
  <c r="A64" i="4"/>
  <c r="D63" i="4"/>
  <c r="C63" i="4"/>
  <c r="G63" i="4" s="1"/>
  <c r="B63" i="4"/>
  <c r="A63" i="4"/>
  <c r="D62" i="4"/>
  <c r="C62" i="4"/>
  <c r="B62" i="4"/>
  <c r="A62" i="4"/>
  <c r="G61" i="4"/>
  <c r="E61" i="4"/>
  <c r="D61" i="4"/>
  <c r="C61" i="4"/>
  <c r="B61" i="4"/>
  <c r="F61" i="4" s="1"/>
  <c r="A61" i="4"/>
  <c r="G60" i="4"/>
  <c r="F60" i="4"/>
  <c r="D60" i="4"/>
  <c r="C60" i="4"/>
  <c r="B60" i="4"/>
  <c r="E60" i="4" s="1"/>
  <c r="A60" i="4"/>
  <c r="D59" i="4"/>
  <c r="C59" i="4"/>
  <c r="G59" i="4" s="1"/>
  <c r="B59" i="4"/>
  <c r="A59" i="4"/>
  <c r="E58" i="4"/>
  <c r="D58" i="4"/>
  <c r="C58" i="4"/>
  <c r="B58" i="4"/>
  <c r="A58" i="4"/>
  <c r="D57" i="4"/>
  <c r="C57" i="4"/>
  <c r="B57" i="4"/>
  <c r="A57" i="4"/>
  <c r="D56" i="4"/>
  <c r="C56" i="4"/>
  <c r="B56" i="4"/>
  <c r="A56" i="4"/>
  <c r="G55" i="4"/>
  <c r="E55" i="4"/>
  <c r="D55" i="4"/>
  <c r="C55" i="4"/>
  <c r="B55" i="4"/>
  <c r="F55" i="4" s="1"/>
  <c r="A55" i="4"/>
  <c r="D54" i="4"/>
  <c r="C54" i="4"/>
  <c r="B54" i="4"/>
  <c r="A54" i="4"/>
  <c r="D53" i="4"/>
  <c r="C53" i="4"/>
  <c r="B53" i="4"/>
  <c r="A53" i="4"/>
  <c r="G52" i="4"/>
  <c r="F52" i="4"/>
  <c r="D52" i="4"/>
  <c r="C52" i="4"/>
  <c r="B52" i="4"/>
  <c r="E52" i="4" s="1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F49" i="4"/>
  <c r="D49" i="4"/>
  <c r="C49" i="4"/>
  <c r="G49" i="4" s="1"/>
  <c r="B49" i="4"/>
  <c r="A49" i="4"/>
  <c r="D48" i="4"/>
  <c r="C48" i="4"/>
  <c r="B48" i="4"/>
  <c r="A48" i="4"/>
  <c r="D47" i="4"/>
  <c r="C47" i="4"/>
  <c r="B47" i="4"/>
  <c r="A47" i="4"/>
  <c r="F46" i="4"/>
  <c r="D46" i="4"/>
  <c r="C46" i="4"/>
  <c r="B46" i="4"/>
  <c r="A46" i="4"/>
  <c r="D45" i="4"/>
  <c r="C45" i="4"/>
  <c r="B45" i="4"/>
  <c r="A45" i="4"/>
  <c r="D44" i="4"/>
  <c r="C44" i="4"/>
  <c r="B44" i="4"/>
  <c r="A44" i="4"/>
  <c r="G43" i="4"/>
  <c r="D43" i="4"/>
  <c r="C43" i="4"/>
  <c r="E43" i="4" s="1"/>
  <c r="B43" i="4"/>
  <c r="A43" i="4"/>
  <c r="G42" i="4"/>
  <c r="F42" i="4"/>
  <c r="D42" i="4"/>
  <c r="C42" i="4"/>
  <c r="B42" i="4"/>
  <c r="E42" i="4" s="1"/>
  <c r="A42" i="4"/>
  <c r="G41" i="4"/>
  <c r="F41" i="4"/>
  <c r="E41" i="4"/>
  <c r="D41" i="4"/>
  <c r="C41" i="4"/>
  <c r="B41" i="4"/>
  <c r="A41" i="4"/>
  <c r="F40" i="4"/>
  <c r="E40" i="4"/>
  <c r="D40" i="4"/>
  <c r="C40" i="4"/>
  <c r="B40" i="4"/>
  <c r="A40" i="4"/>
  <c r="D39" i="4"/>
  <c r="C39" i="4"/>
  <c r="B39" i="4"/>
  <c r="A39" i="4"/>
  <c r="D38" i="4"/>
  <c r="C38" i="4"/>
  <c r="B38" i="4"/>
  <c r="F38" i="4" s="1"/>
  <c r="A38" i="4"/>
  <c r="G37" i="4"/>
  <c r="E37" i="4"/>
  <c r="D37" i="4"/>
  <c r="C37" i="4"/>
  <c r="B37" i="4"/>
  <c r="A37" i="4"/>
  <c r="D36" i="4"/>
  <c r="C36" i="4"/>
  <c r="B36" i="4"/>
  <c r="F36" i="4" s="1"/>
  <c r="A36" i="4"/>
  <c r="D35" i="4"/>
  <c r="C35" i="4"/>
  <c r="B35" i="4"/>
  <c r="A35" i="4"/>
  <c r="D34" i="4"/>
  <c r="C34" i="4"/>
  <c r="B34" i="4"/>
  <c r="A34" i="4"/>
  <c r="G33" i="4"/>
  <c r="D33" i="4"/>
  <c r="C33" i="4"/>
  <c r="E33" i="4" s="1"/>
  <c r="B33" i="4"/>
  <c r="A33" i="4"/>
  <c r="F32" i="4"/>
  <c r="E32" i="4"/>
  <c r="D32" i="4"/>
  <c r="C32" i="4"/>
  <c r="B32" i="4"/>
  <c r="A32" i="4"/>
  <c r="D31" i="4"/>
  <c r="C31" i="4"/>
  <c r="G31" i="4" s="1"/>
  <c r="B31" i="4"/>
  <c r="A31" i="4"/>
  <c r="D30" i="4"/>
  <c r="C30" i="4"/>
  <c r="B30" i="4"/>
  <c r="A30" i="4"/>
  <c r="D29" i="4"/>
  <c r="C29" i="4"/>
  <c r="B29" i="4"/>
  <c r="A29" i="4"/>
  <c r="G28" i="4"/>
  <c r="F28" i="4"/>
  <c r="D28" i="4"/>
  <c r="C28" i="4"/>
  <c r="B28" i="4"/>
  <c r="A28" i="4"/>
  <c r="G27" i="4"/>
  <c r="F27" i="4"/>
  <c r="E27" i="4"/>
  <c r="D27" i="4"/>
  <c r="C27" i="4"/>
  <c r="B27" i="4"/>
  <c r="A27" i="4"/>
  <c r="F26" i="4"/>
  <c r="E26" i="4"/>
  <c r="D26" i="4"/>
  <c r="C26" i="4"/>
  <c r="B26" i="4"/>
  <c r="G26" i="4" s="1"/>
  <c r="A26" i="4"/>
  <c r="D25" i="4"/>
  <c r="C25" i="4"/>
  <c r="E25" i="4" s="1"/>
  <c r="B25" i="4"/>
  <c r="A25" i="4"/>
  <c r="D24" i="4"/>
  <c r="C24" i="4"/>
  <c r="B24" i="4"/>
  <c r="A24" i="4"/>
  <c r="D23" i="4"/>
  <c r="C23" i="4"/>
  <c r="B23" i="4"/>
  <c r="A23" i="4"/>
  <c r="F22" i="4"/>
  <c r="D22" i="4"/>
  <c r="C22" i="4"/>
  <c r="B22" i="4"/>
  <c r="G22" i="4" s="1"/>
  <c r="A22" i="4"/>
  <c r="D21" i="4"/>
  <c r="C21" i="4"/>
  <c r="B21" i="4"/>
  <c r="A21" i="4"/>
  <c r="D20" i="4"/>
  <c r="C20" i="4"/>
  <c r="E20" i="4" s="1"/>
  <c r="B20" i="4"/>
  <c r="A20" i="4"/>
  <c r="G19" i="4"/>
  <c r="F19" i="4"/>
  <c r="E19" i="4"/>
  <c r="D19" i="4"/>
  <c r="C19" i="4"/>
  <c r="B19" i="4"/>
  <c r="A19" i="4"/>
  <c r="F18" i="4"/>
  <c r="D18" i="4"/>
  <c r="C18" i="4"/>
  <c r="B18" i="4"/>
  <c r="E18" i="4" s="1"/>
  <c r="A18" i="4"/>
  <c r="D17" i="4"/>
  <c r="C17" i="4"/>
  <c r="B17" i="4"/>
  <c r="A17" i="4"/>
  <c r="D16" i="4"/>
  <c r="C16" i="4"/>
  <c r="B16" i="4"/>
  <c r="A16" i="4"/>
  <c r="G15" i="4"/>
  <c r="F15" i="4"/>
  <c r="E15" i="4"/>
  <c r="D15" i="4"/>
  <c r="C15" i="4"/>
  <c r="B15" i="4"/>
  <c r="A15" i="4"/>
  <c r="F14" i="4"/>
  <c r="D14" i="4"/>
  <c r="C14" i="4"/>
  <c r="B14" i="4"/>
  <c r="E14" i="4" s="1"/>
  <c r="A14" i="4"/>
  <c r="D13" i="4"/>
  <c r="C13" i="4"/>
  <c r="B13" i="4"/>
  <c r="A13" i="4"/>
  <c r="G12" i="4"/>
  <c r="F12" i="4"/>
  <c r="E12" i="4"/>
  <c r="D12" i="4"/>
  <c r="C12" i="4"/>
  <c r="B12" i="4"/>
  <c r="A12" i="4"/>
  <c r="D11" i="4"/>
  <c r="C11" i="4"/>
  <c r="B11" i="4"/>
  <c r="A11" i="4"/>
  <c r="D10" i="4"/>
  <c r="C10" i="4"/>
  <c r="B10" i="4"/>
  <c r="A10" i="4"/>
  <c r="D9" i="4"/>
  <c r="C9" i="4"/>
  <c r="B9" i="4"/>
  <c r="A9" i="4"/>
  <c r="D8" i="4"/>
  <c r="C8" i="4"/>
  <c r="F8" i="4" s="1"/>
  <c r="B8" i="4"/>
  <c r="A8" i="4"/>
  <c r="D7" i="4"/>
  <c r="C7" i="4"/>
  <c r="B7" i="4"/>
  <c r="A7" i="4"/>
  <c r="D6" i="4"/>
  <c r="C6" i="4"/>
  <c r="B6" i="4"/>
  <c r="A6" i="4"/>
  <c r="D5" i="4"/>
  <c r="C5" i="4"/>
  <c r="B5" i="4"/>
  <c r="A5" i="4"/>
  <c r="D4" i="4"/>
  <c r="C4" i="4"/>
  <c r="B4" i="4"/>
  <c r="A4" i="4"/>
  <c r="D3" i="4"/>
  <c r="C3" i="4"/>
  <c r="B3" i="4"/>
  <c r="A3" i="4"/>
  <c r="D2" i="4"/>
  <c r="C2" i="4"/>
  <c r="B2" i="4"/>
  <c r="A2" i="4"/>
  <c r="G4" i="4" l="1"/>
  <c r="G6" i="4"/>
  <c r="G10" i="4"/>
  <c r="E10" i="4"/>
  <c r="F10" i="4"/>
  <c r="G8" i="4"/>
  <c r="E8" i="4"/>
  <c r="E6" i="4"/>
  <c r="F6" i="4"/>
  <c r="F4" i="4"/>
  <c r="E4" i="4"/>
  <c r="F2" i="4"/>
  <c r="E2" i="4"/>
  <c r="G2" i="4"/>
  <c r="V7" i="4"/>
  <c r="V9" i="4"/>
  <c r="G16" i="4"/>
  <c r="F16" i="4"/>
  <c r="O3" i="4"/>
  <c r="O5" i="4"/>
  <c r="O7" i="4"/>
  <c r="O9" i="4"/>
  <c r="O11" i="4"/>
  <c r="O13" i="4"/>
  <c r="G20" i="4"/>
  <c r="F20" i="4"/>
  <c r="O21" i="4"/>
  <c r="G35" i="4"/>
  <c r="F35" i="4"/>
  <c r="E35" i="4"/>
  <c r="G48" i="4"/>
  <c r="F48" i="4"/>
  <c r="E48" i="4"/>
  <c r="E68" i="4"/>
  <c r="G68" i="4"/>
  <c r="G86" i="4"/>
  <c r="F86" i="4"/>
  <c r="E86" i="4"/>
  <c r="L14" i="4" s="1"/>
  <c r="G88" i="4"/>
  <c r="F88" i="4"/>
  <c r="E88" i="4"/>
  <c r="F101" i="4"/>
  <c r="E101" i="4"/>
  <c r="G101" i="4"/>
  <c r="E171" i="4"/>
  <c r="F171" i="4"/>
  <c r="G171" i="4"/>
  <c r="G184" i="4"/>
  <c r="F184" i="4"/>
  <c r="E184" i="4"/>
  <c r="G229" i="4"/>
  <c r="F229" i="4"/>
  <c r="E229" i="4"/>
  <c r="G240" i="4"/>
  <c r="F240" i="4"/>
  <c r="E240" i="4"/>
  <c r="F21" i="4"/>
  <c r="E21" i="4"/>
  <c r="T18" i="4" s="1"/>
  <c r="G21" i="4"/>
  <c r="G54" i="4"/>
  <c r="E54" i="4"/>
  <c r="M5" i="4" s="1"/>
  <c r="G57" i="4"/>
  <c r="F57" i="4"/>
  <c r="E57" i="4"/>
  <c r="G70" i="4"/>
  <c r="F70" i="4"/>
  <c r="E70" i="4"/>
  <c r="F73" i="4"/>
  <c r="E73" i="4"/>
  <c r="G73" i="4"/>
  <c r="G94" i="4"/>
  <c r="K5" i="4" s="1"/>
  <c r="F94" i="4"/>
  <c r="E94" i="4"/>
  <c r="T5" i="4" s="1"/>
  <c r="F109" i="4"/>
  <c r="E109" i="4"/>
  <c r="G109" i="4"/>
  <c r="F133" i="4"/>
  <c r="E133" i="4"/>
  <c r="G133" i="4"/>
  <c r="G135" i="4"/>
  <c r="F135" i="4"/>
  <c r="E135" i="4"/>
  <c r="G157" i="4"/>
  <c r="F157" i="4"/>
  <c r="E157" i="4"/>
  <c r="P19" i="4"/>
  <c r="E63" i="4"/>
  <c r="G96" i="4"/>
  <c r="F96" i="4"/>
  <c r="E96" i="4"/>
  <c r="G126" i="4"/>
  <c r="F126" i="4"/>
  <c r="E126" i="4"/>
  <c r="G3" i="4"/>
  <c r="F3" i="4"/>
  <c r="E3" i="4"/>
  <c r="M3" i="4" s="1"/>
  <c r="U5" i="4"/>
  <c r="G7" i="4"/>
  <c r="F7" i="4"/>
  <c r="E7" i="4"/>
  <c r="G9" i="4"/>
  <c r="F9" i="4"/>
  <c r="E9" i="4"/>
  <c r="L19" i="4" s="1"/>
  <c r="U11" i="4"/>
  <c r="U13" i="4"/>
  <c r="U18" i="4"/>
  <c r="F23" i="4"/>
  <c r="E23" i="4"/>
  <c r="G23" i="4"/>
  <c r="F29" i="4"/>
  <c r="E29" i="4"/>
  <c r="N16" i="4" s="1"/>
  <c r="G29" i="4"/>
  <c r="F45" i="4"/>
  <c r="G45" i="4"/>
  <c r="K10" i="4" s="1"/>
  <c r="F47" i="4"/>
  <c r="E47" i="4"/>
  <c r="M14" i="4" s="1"/>
  <c r="G47" i="4"/>
  <c r="G62" i="4"/>
  <c r="E62" i="4"/>
  <c r="F62" i="4"/>
  <c r="G81" i="4"/>
  <c r="F81" i="4"/>
  <c r="E81" i="4"/>
  <c r="O17" i="4"/>
  <c r="P2" i="4"/>
  <c r="P8" i="4"/>
  <c r="P10" i="4"/>
  <c r="O20" i="4"/>
  <c r="E31" i="4"/>
  <c r="N20" i="4" s="1"/>
  <c r="E45" i="4"/>
  <c r="F54" i="4"/>
  <c r="G56" i="4"/>
  <c r="E56" i="4"/>
  <c r="F56" i="4"/>
  <c r="G58" i="4"/>
  <c r="F58" i="4"/>
  <c r="E59" i="4"/>
  <c r="G104" i="4"/>
  <c r="F104" i="4"/>
  <c r="E104" i="4"/>
  <c r="G5" i="4"/>
  <c r="K8" i="4" s="1"/>
  <c r="F5" i="4"/>
  <c r="E5" i="4"/>
  <c r="T8" i="4" s="1"/>
  <c r="G11" i="4"/>
  <c r="K21" i="4" s="1"/>
  <c r="F11" i="4"/>
  <c r="E11" i="4"/>
  <c r="M21" i="4" s="1"/>
  <c r="F39" i="4"/>
  <c r="G39" i="4"/>
  <c r="E39" i="4"/>
  <c r="P6" i="4"/>
  <c r="P12" i="4"/>
  <c r="U14" i="4"/>
  <c r="F17" i="4"/>
  <c r="E17" i="4"/>
  <c r="G17" i="4"/>
  <c r="U17" i="4"/>
  <c r="P20" i="4"/>
  <c r="G24" i="4"/>
  <c r="F24" i="4"/>
  <c r="E24" i="4"/>
  <c r="G30" i="4"/>
  <c r="F30" i="4"/>
  <c r="E30" i="4"/>
  <c r="T17" i="4" s="1"/>
  <c r="E44" i="4"/>
  <c r="M7" i="4" s="1"/>
  <c r="G44" i="4"/>
  <c r="K7" i="4" s="1"/>
  <c r="F44" i="4"/>
  <c r="F53" i="4"/>
  <c r="G53" i="4"/>
  <c r="E53" i="4"/>
  <c r="F59" i="4"/>
  <c r="G78" i="4"/>
  <c r="F78" i="4"/>
  <c r="E78" i="4"/>
  <c r="G89" i="4"/>
  <c r="K18" i="4" s="1"/>
  <c r="F89" i="4"/>
  <c r="F93" i="4"/>
  <c r="E93" i="4"/>
  <c r="G93" i="4"/>
  <c r="O16" i="4"/>
  <c r="U3" i="4"/>
  <c r="U7" i="4"/>
  <c r="U9" i="4"/>
  <c r="G13" i="4"/>
  <c r="K4" i="4" s="1"/>
  <c r="F13" i="4"/>
  <c r="T9" i="4" s="1"/>
  <c r="E13" i="4"/>
  <c r="P16" i="4"/>
  <c r="U21" i="4"/>
  <c r="V3" i="4"/>
  <c r="V5" i="4"/>
  <c r="V11" i="4"/>
  <c r="V18" i="4"/>
  <c r="G25" i="4"/>
  <c r="F25" i="4"/>
  <c r="F34" i="4"/>
  <c r="E34" i="4"/>
  <c r="G34" i="4"/>
  <c r="E36" i="4"/>
  <c r="G36" i="4"/>
  <c r="V20" i="4"/>
  <c r="P4" i="4"/>
  <c r="V14" i="4"/>
  <c r="P15" i="4"/>
  <c r="E16" i="4"/>
  <c r="E49" i="4"/>
  <c r="N17" i="4" s="1"/>
  <c r="G80" i="4"/>
  <c r="E80" i="4"/>
  <c r="F80" i="4"/>
  <c r="F112" i="4"/>
  <c r="E112" i="4"/>
  <c r="F199" i="4"/>
  <c r="E199" i="4"/>
  <c r="O2" i="4"/>
  <c r="O4" i="4"/>
  <c r="O6" i="4"/>
  <c r="O8" i="4"/>
  <c r="O10" i="4"/>
  <c r="O12" i="4"/>
  <c r="O15" i="4"/>
  <c r="V16" i="4"/>
  <c r="O19" i="4"/>
  <c r="E22" i="4"/>
  <c r="L3" i="4" s="1"/>
  <c r="F31" i="4"/>
  <c r="F33" i="4"/>
  <c r="G40" i="4"/>
  <c r="F43" i="4"/>
  <c r="F63" i="4"/>
  <c r="G71" i="4"/>
  <c r="F71" i="4"/>
  <c r="G102" i="4"/>
  <c r="F102" i="4"/>
  <c r="T7" i="4" s="1"/>
  <c r="E102" i="4"/>
  <c r="G108" i="4"/>
  <c r="G112" i="4"/>
  <c r="F117" i="4"/>
  <c r="E117" i="4"/>
  <c r="G117" i="4"/>
  <c r="G119" i="4"/>
  <c r="F119" i="4"/>
  <c r="E124" i="4"/>
  <c r="F124" i="4"/>
  <c r="G150" i="4"/>
  <c r="F150" i="4"/>
  <c r="E150" i="4"/>
  <c r="F162" i="4"/>
  <c r="E162" i="4"/>
  <c r="G162" i="4"/>
  <c r="K3" i="4" s="1"/>
  <c r="E195" i="4"/>
  <c r="F195" i="4"/>
  <c r="G195" i="4"/>
  <c r="G206" i="4"/>
  <c r="F206" i="4"/>
  <c r="E206" i="4"/>
  <c r="E140" i="4"/>
  <c r="N15" i="4" s="1"/>
  <c r="F140" i="4"/>
  <c r="G166" i="4"/>
  <c r="F166" i="4"/>
  <c r="E166" i="4"/>
  <c r="G175" i="4"/>
  <c r="F175" i="4"/>
  <c r="E175" i="4"/>
  <c r="F188" i="4"/>
  <c r="E188" i="4"/>
  <c r="G188" i="4"/>
  <c r="G190" i="4"/>
  <c r="F190" i="4"/>
  <c r="E190" i="4"/>
  <c r="G231" i="4"/>
  <c r="E231" i="4"/>
  <c r="F231" i="4"/>
  <c r="G248" i="4"/>
  <c r="F248" i="4"/>
  <c r="E248" i="4"/>
  <c r="F260" i="4"/>
  <c r="E260" i="4"/>
  <c r="G260" i="4"/>
  <c r="G111" i="4"/>
  <c r="F111" i="4"/>
  <c r="T20" i="4" s="1"/>
  <c r="E116" i="4"/>
  <c r="F116" i="4"/>
  <c r="G142" i="4"/>
  <c r="F142" i="4"/>
  <c r="E142" i="4"/>
  <c r="M2" i="4" s="1"/>
  <c r="G181" i="4"/>
  <c r="F181" i="4"/>
  <c r="E181" i="4"/>
  <c r="E203" i="4"/>
  <c r="N5" i="4" s="1"/>
  <c r="G203" i="4"/>
  <c r="F203" i="4"/>
  <c r="E219" i="4"/>
  <c r="G219" i="4"/>
  <c r="G237" i="4"/>
  <c r="F237" i="4"/>
  <c r="E237" i="4"/>
  <c r="G103" i="4"/>
  <c r="K6" i="4" s="1"/>
  <c r="F103" i="4"/>
  <c r="G118" i="4"/>
  <c r="F118" i="4"/>
  <c r="E118" i="4"/>
  <c r="N14" i="4" s="1"/>
  <c r="F149" i="4"/>
  <c r="E149" i="4"/>
  <c r="G149" i="4"/>
  <c r="G151" i="4"/>
  <c r="K20" i="4" s="1"/>
  <c r="F151" i="4"/>
  <c r="E152" i="4"/>
  <c r="E156" i="4"/>
  <c r="F156" i="4"/>
  <c r="E163" i="4"/>
  <c r="L4" i="4" s="1"/>
  <c r="G163" i="4"/>
  <c r="F163" i="4"/>
  <c r="G183" i="4"/>
  <c r="F183" i="4"/>
  <c r="E183" i="4"/>
  <c r="F196" i="4"/>
  <c r="E196" i="4"/>
  <c r="G196" i="4"/>
  <c r="G198" i="4"/>
  <c r="F198" i="4"/>
  <c r="E198" i="4"/>
  <c r="M15" i="4" s="1"/>
  <c r="G214" i="4"/>
  <c r="F214" i="4"/>
  <c r="G245" i="4"/>
  <c r="F245" i="4"/>
  <c r="E245" i="4"/>
  <c r="V21" i="4"/>
  <c r="V19" i="4"/>
  <c r="V17" i="4"/>
  <c r="V15" i="4"/>
  <c r="V13" i="4"/>
  <c r="T2" i="4"/>
  <c r="P3" i="4"/>
  <c r="P5" i="4"/>
  <c r="T6" i="4"/>
  <c r="P7" i="4"/>
  <c r="P9" i="4"/>
  <c r="P11" i="4"/>
  <c r="P13" i="4"/>
  <c r="G14" i="4"/>
  <c r="P17" i="4"/>
  <c r="G18" i="4"/>
  <c r="P21" i="4"/>
  <c r="G38" i="4"/>
  <c r="K15" i="4" s="1"/>
  <c r="E38" i="4"/>
  <c r="T15" i="4" s="1"/>
  <c r="F85" i="4"/>
  <c r="E85" i="4"/>
  <c r="G95" i="4"/>
  <c r="F95" i="4"/>
  <c r="F125" i="4"/>
  <c r="E125" i="4"/>
  <c r="M9" i="4" s="1"/>
  <c r="G125" i="4"/>
  <c r="G127" i="4"/>
  <c r="K17" i="4" s="1"/>
  <c r="F127" i="4"/>
  <c r="E128" i="4"/>
  <c r="M18" i="4" s="1"/>
  <c r="E132" i="4"/>
  <c r="F132" i="4"/>
  <c r="G140" i="4"/>
  <c r="F172" i="4"/>
  <c r="E172" i="4"/>
  <c r="G172" i="4"/>
  <c r="G221" i="4"/>
  <c r="F221" i="4"/>
  <c r="E221" i="4"/>
  <c r="M20" i="4" s="1"/>
  <c r="F224" i="4"/>
  <c r="E224" i="4"/>
  <c r="G224" i="4"/>
  <c r="G247" i="4"/>
  <c r="F247" i="4"/>
  <c r="E247" i="4"/>
  <c r="G255" i="4"/>
  <c r="F255" i="4"/>
  <c r="E255" i="4"/>
  <c r="N7" i="4" s="1"/>
  <c r="U2" i="4"/>
  <c r="U4" i="4"/>
  <c r="U6" i="4"/>
  <c r="U8" i="4"/>
  <c r="U10" i="4"/>
  <c r="U12" i="4"/>
  <c r="O14" i="4"/>
  <c r="U15" i="4"/>
  <c r="O18" i="4"/>
  <c r="U19" i="4"/>
  <c r="E28" i="4"/>
  <c r="L10" i="4" s="1"/>
  <c r="G32" i="4"/>
  <c r="K2" i="4" s="1"/>
  <c r="G64" i="4"/>
  <c r="F77" i="4"/>
  <c r="E77" i="4"/>
  <c r="G87" i="4"/>
  <c r="F87" i="4"/>
  <c r="E111" i="4"/>
  <c r="G116" i="4"/>
  <c r="K11" i="4" s="1"/>
  <c r="G134" i="4"/>
  <c r="F134" i="4"/>
  <c r="E134" i="4"/>
  <c r="G167" i="4"/>
  <c r="G174" i="4"/>
  <c r="E174" i="4"/>
  <c r="F174" i="4"/>
  <c r="G191" i="4"/>
  <c r="F191" i="4"/>
  <c r="F219" i="4"/>
  <c r="V2" i="4"/>
  <c r="V4" i="4"/>
  <c r="V6" i="4"/>
  <c r="N8" i="4"/>
  <c r="V8" i="4"/>
  <c r="V10" i="4"/>
  <c r="V12" i="4"/>
  <c r="P14" i="4"/>
  <c r="L16" i="4"/>
  <c r="U16" i="4"/>
  <c r="P18" i="4"/>
  <c r="U20" i="4"/>
  <c r="F37" i="4"/>
  <c r="G46" i="4"/>
  <c r="E46" i="4"/>
  <c r="L13" i="4" s="1"/>
  <c r="F69" i="4"/>
  <c r="E69" i="4"/>
  <c r="G79" i="4"/>
  <c r="F79" i="4"/>
  <c r="E103" i="4"/>
  <c r="M6" i="4" s="1"/>
  <c r="F108" i="4"/>
  <c r="G110" i="4"/>
  <c r="F110" i="4"/>
  <c r="E110" i="4"/>
  <c r="G136" i="4"/>
  <c r="F141" i="4"/>
  <c r="E141" i="4"/>
  <c r="G141" i="4"/>
  <c r="G143" i="4"/>
  <c r="F143" i="4"/>
  <c r="E148" i="4"/>
  <c r="L12" i="4" s="1"/>
  <c r="F148" i="4"/>
  <c r="E151" i="4"/>
  <c r="G156" i="4"/>
  <c r="G176" i="4"/>
  <c r="F176" i="4"/>
  <c r="F180" i="4"/>
  <c r="E180" i="4"/>
  <c r="N18" i="4" s="1"/>
  <c r="G180" i="4"/>
  <c r="F204" i="4"/>
  <c r="E204" i="4"/>
  <c r="E211" i="4"/>
  <c r="G211" i="4"/>
  <c r="F211" i="4"/>
  <c r="E214" i="4"/>
  <c r="G232" i="4"/>
  <c r="F232" i="4"/>
  <c r="E232" i="4"/>
  <c r="G158" i="4"/>
  <c r="F164" i="4"/>
  <c r="E164" i="4"/>
  <c r="G189" i="4"/>
  <c r="F189" i="4"/>
  <c r="E189" i="4"/>
  <c r="G199" i="4"/>
  <c r="K16" i="4" s="1"/>
  <c r="F212" i="4"/>
  <c r="E212" i="4"/>
  <c r="N2" i="4" s="1"/>
  <c r="G222" i="4"/>
  <c r="F222" i="4"/>
  <c r="G253" i="4"/>
  <c r="F253" i="4"/>
  <c r="E253" i="4"/>
  <c r="G259" i="4"/>
  <c r="G263" i="4"/>
  <c r="F276" i="4"/>
  <c r="E276" i="4"/>
  <c r="G286" i="4"/>
  <c r="F286" i="4"/>
  <c r="G288" i="4"/>
  <c r="F295" i="4"/>
  <c r="N9" i="4" s="1"/>
  <c r="G317" i="4"/>
  <c r="F317" i="4"/>
  <c r="E317" i="4"/>
  <c r="G327" i="4"/>
  <c r="F340" i="4"/>
  <c r="E340" i="4"/>
  <c r="F344" i="4"/>
  <c r="G350" i="4"/>
  <c r="F350" i="4"/>
  <c r="E351" i="4"/>
  <c r="G352" i="4"/>
  <c r="F268" i="4"/>
  <c r="E268" i="4"/>
  <c r="G278" i="4"/>
  <c r="F278" i="4"/>
  <c r="G309" i="4"/>
  <c r="F309" i="4"/>
  <c r="E309" i="4"/>
  <c r="G319" i="4"/>
  <c r="F332" i="4"/>
  <c r="E332" i="4"/>
  <c r="G342" i="4"/>
  <c r="F342" i="4"/>
  <c r="E343" i="4"/>
  <c r="G344" i="4"/>
  <c r="F371" i="4"/>
  <c r="G373" i="4"/>
  <c r="F373" i="4"/>
  <c r="E373" i="4"/>
  <c r="F380" i="4"/>
  <c r="E380" i="4"/>
  <c r="G380" i="4"/>
  <c r="G270" i="4"/>
  <c r="F270" i="4"/>
  <c r="G301" i="4"/>
  <c r="F301" i="4"/>
  <c r="E301" i="4"/>
  <c r="F324" i="4"/>
  <c r="E324" i="4"/>
  <c r="G334" i="4"/>
  <c r="F334" i="4"/>
  <c r="G365" i="4"/>
  <c r="F365" i="4"/>
  <c r="E365" i="4"/>
  <c r="G371" i="4"/>
  <c r="F252" i="4"/>
  <c r="E252" i="4"/>
  <c r="G262" i="4"/>
  <c r="F262" i="4"/>
  <c r="E263" i="4"/>
  <c r="G293" i="4"/>
  <c r="F293" i="4"/>
  <c r="E293" i="4"/>
  <c r="G303" i="4"/>
  <c r="E312" i="4"/>
  <c r="F316" i="4"/>
  <c r="E316" i="4"/>
  <c r="G326" i="4"/>
  <c r="F326" i="4"/>
  <c r="E327" i="4"/>
  <c r="G340" i="4"/>
  <c r="E350" i="4"/>
  <c r="F355" i="4"/>
  <c r="G357" i="4"/>
  <c r="F357" i="4"/>
  <c r="E357" i="4"/>
  <c r="E376" i="4"/>
  <c r="F244" i="4"/>
  <c r="E244" i="4"/>
  <c r="G254" i="4"/>
  <c r="F254" i="4"/>
  <c r="G268" i="4"/>
  <c r="K14" i="4" s="1"/>
  <c r="E278" i="4"/>
  <c r="F283" i="4"/>
  <c r="G285" i="4"/>
  <c r="F285" i="4"/>
  <c r="E285" i="4"/>
  <c r="E304" i="4"/>
  <c r="F308" i="4"/>
  <c r="E308" i="4"/>
  <c r="F312" i="4"/>
  <c r="G318" i="4"/>
  <c r="F318" i="4"/>
  <c r="E319" i="4"/>
  <c r="F327" i="4"/>
  <c r="G332" i="4"/>
  <c r="E342" i="4"/>
  <c r="G349" i="4"/>
  <c r="F349" i="4"/>
  <c r="E349" i="4"/>
  <c r="G355" i="4"/>
  <c r="G359" i="4"/>
  <c r="E368" i="4"/>
  <c r="F372" i="4"/>
  <c r="E372" i="4"/>
  <c r="F376" i="4"/>
  <c r="G165" i="4"/>
  <c r="F165" i="4"/>
  <c r="G182" i="4"/>
  <c r="F182" i="4"/>
  <c r="G213" i="4"/>
  <c r="F213" i="4"/>
  <c r="E213" i="4"/>
  <c r="G223" i="4"/>
  <c r="F236" i="4"/>
  <c r="E236" i="4"/>
  <c r="G246" i="4"/>
  <c r="F246" i="4"/>
  <c r="E270" i="4"/>
  <c r="F275" i="4"/>
  <c r="G277" i="4"/>
  <c r="F277" i="4"/>
  <c r="E277" i="4"/>
  <c r="G283" i="4"/>
  <c r="G287" i="4"/>
  <c r="E296" i="4"/>
  <c r="F300" i="4"/>
  <c r="E300" i="4"/>
  <c r="F304" i="4"/>
  <c r="G310" i="4"/>
  <c r="F310" i="4"/>
  <c r="E311" i="4"/>
  <c r="F319" i="4"/>
  <c r="G324" i="4"/>
  <c r="E334" i="4"/>
  <c r="F339" i="4"/>
  <c r="G341" i="4"/>
  <c r="F341" i="4"/>
  <c r="E341" i="4"/>
  <c r="G351" i="4"/>
  <c r="F364" i="4"/>
  <c r="E364" i="4"/>
  <c r="F368" i="4"/>
  <c r="G374" i="4"/>
  <c r="F374" i="4"/>
  <c r="G205" i="4"/>
  <c r="F205" i="4"/>
  <c r="E205" i="4"/>
  <c r="F228" i="4"/>
  <c r="E228" i="4"/>
  <c r="G238" i="4"/>
  <c r="F238" i="4"/>
  <c r="E239" i="4"/>
  <c r="G252" i="4"/>
  <c r="E262" i="4"/>
  <c r="L2" i="4" s="1"/>
  <c r="F267" i="4"/>
  <c r="G269" i="4"/>
  <c r="F269" i="4"/>
  <c r="E269" i="4"/>
  <c r="G275" i="4"/>
  <c r="E288" i="4"/>
  <c r="F292" i="4"/>
  <c r="E292" i="4"/>
  <c r="F296" i="4"/>
  <c r="G302" i="4"/>
  <c r="F302" i="4"/>
  <c r="E303" i="4"/>
  <c r="F311" i="4"/>
  <c r="G316" i="4"/>
  <c r="G333" i="4"/>
  <c r="F333" i="4"/>
  <c r="N6" i="4" s="1"/>
  <c r="E333" i="4"/>
  <c r="G339" i="4"/>
  <c r="E352" i="4"/>
  <c r="F356" i="4"/>
  <c r="E356" i="4"/>
  <c r="G366" i="4"/>
  <c r="F366" i="4"/>
  <c r="G173" i="4"/>
  <c r="F173" i="4"/>
  <c r="G197" i="4"/>
  <c r="F197" i="4"/>
  <c r="E197" i="4"/>
  <c r="G207" i="4"/>
  <c r="K9" i="4" s="1"/>
  <c r="F220" i="4"/>
  <c r="E220" i="4"/>
  <c r="G230" i="4"/>
  <c r="K19" i="4" s="1"/>
  <c r="F230" i="4"/>
  <c r="F239" i="4"/>
  <c r="G244" i="4"/>
  <c r="E254" i="4"/>
  <c r="F259" i="4"/>
  <c r="G261" i="4"/>
  <c r="F261" i="4"/>
  <c r="E261" i="4"/>
  <c r="G267" i="4"/>
  <c r="G271" i="4"/>
  <c r="F284" i="4"/>
  <c r="E284" i="4"/>
  <c r="G294" i="4"/>
  <c r="F294" i="4"/>
  <c r="E295" i="4"/>
  <c r="F303" i="4"/>
  <c r="G308" i="4"/>
  <c r="E318" i="4"/>
  <c r="F323" i="4"/>
  <c r="G325" i="4"/>
  <c r="F325" i="4"/>
  <c r="E325" i="4"/>
  <c r="G331" i="4"/>
  <c r="G335" i="4"/>
  <c r="F348" i="4"/>
  <c r="E348" i="4"/>
  <c r="G358" i="4"/>
  <c r="F358" i="4"/>
  <c r="E359" i="4"/>
  <c r="F367" i="4"/>
  <c r="G372" i="4"/>
  <c r="G379" i="4"/>
  <c r="E381" i="4"/>
  <c r="F381" i="4"/>
  <c r="L8" i="4" l="1"/>
  <c r="T11" i="4"/>
  <c r="W11" i="4" s="1"/>
  <c r="M19" i="4"/>
  <c r="M8" i="4"/>
  <c r="R8" i="4" s="1"/>
  <c r="M11" i="4"/>
  <c r="L11" i="4"/>
  <c r="R11" i="4" s="1"/>
  <c r="T21" i="4"/>
  <c r="W21" i="4" s="1"/>
  <c r="R3" i="4"/>
  <c r="M12" i="4"/>
  <c r="R12" i="4" s="1"/>
  <c r="K12" i="4"/>
  <c r="R2" i="4"/>
  <c r="N21" i="4"/>
  <c r="K13" i="4"/>
  <c r="Q2" i="4"/>
  <c r="S2" i="4"/>
  <c r="W7" i="4"/>
  <c r="Q10" i="4"/>
  <c r="W9" i="4"/>
  <c r="Q20" i="4"/>
  <c r="Q19" i="4"/>
  <c r="W17" i="4"/>
  <c r="Q21" i="4"/>
  <c r="Q3" i="4"/>
  <c r="W18" i="4"/>
  <c r="W2" i="4"/>
  <c r="Q12" i="4"/>
  <c r="W5" i="4"/>
  <c r="W15" i="4"/>
  <c r="W8" i="4"/>
  <c r="W20" i="4"/>
  <c r="S3" i="4"/>
  <c r="Q4" i="4"/>
  <c r="R14" i="4"/>
  <c r="R19" i="4"/>
  <c r="T12" i="4"/>
  <c r="W12" i="4" s="1"/>
  <c r="N4" i="4"/>
  <c r="N10" i="4"/>
  <c r="Q18" i="4"/>
  <c r="T16" i="4"/>
  <c r="W16" i="4" s="1"/>
  <c r="M10" i="4"/>
  <c r="R10" i="4" s="1"/>
  <c r="S10" i="4" s="1"/>
  <c r="T19" i="4"/>
  <c r="W19" i="4" s="1"/>
  <c r="N19" i="4"/>
  <c r="N13" i="4"/>
  <c r="Q16" i="4"/>
  <c r="Q11" i="4"/>
  <c r="N11" i="4"/>
  <c r="Q9" i="4"/>
  <c r="L9" i="4"/>
  <c r="R9" i="4" s="1"/>
  <c r="Q7" i="4"/>
  <c r="M17" i="4"/>
  <c r="L5" i="4"/>
  <c r="R5" i="4" s="1"/>
  <c r="T3" i="4"/>
  <c r="W3" i="4" s="1"/>
  <c r="L17" i="4"/>
  <c r="Q5" i="4"/>
  <c r="Q14" i="4"/>
  <c r="L15" i="4"/>
  <c r="R15" i="4" s="1"/>
  <c r="M13" i="4"/>
  <c r="R13" i="4" s="1"/>
  <c r="L6" i="4"/>
  <c r="R6" i="4" s="1"/>
  <c r="L20" i="4"/>
  <c r="R20" i="4" s="1"/>
  <c r="T10" i="4"/>
  <c r="W10" i="4" s="1"/>
  <c r="Q8" i="4"/>
  <c r="N3" i="4"/>
  <c r="L18" i="4"/>
  <c r="R18" i="4" s="1"/>
  <c r="Q17" i="4"/>
  <c r="T13" i="4"/>
  <c r="W13" i="4" s="1"/>
  <c r="L21" i="4"/>
  <c r="R21" i="4" s="1"/>
  <c r="S21" i="4" s="1"/>
  <c r="N12" i="4"/>
  <c r="M4" i="4"/>
  <c r="R4" i="4" s="1"/>
  <c r="T4" i="4"/>
  <c r="W4" i="4" s="1"/>
  <c r="M16" i="4"/>
  <c r="R16" i="4" s="1"/>
  <c r="L7" i="4"/>
  <c r="R7" i="4" s="1"/>
  <c r="T14" i="4"/>
  <c r="W14" i="4" s="1"/>
  <c r="W6" i="4"/>
  <c r="Q15" i="4"/>
  <c r="Q6" i="4"/>
  <c r="Q13" i="4"/>
  <c r="S6" i="4" l="1"/>
  <c r="S19" i="4"/>
  <c r="S18" i="4"/>
  <c r="S4" i="4"/>
  <c r="S16" i="4"/>
  <c r="S7" i="4"/>
  <c r="S20" i="4"/>
  <c r="S12" i="4"/>
  <c r="S15" i="4"/>
  <c r="S9" i="4"/>
  <c r="S5" i="4"/>
  <c r="S13" i="4"/>
  <c r="R17" i="4"/>
  <c r="S17" i="4" s="1"/>
  <c r="S8" i="4"/>
  <c r="M17" i="3" s="1"/>
  <c r="N17" i="3" s="1"/>
  <c r="S11" i="4"/>
  <c r="S14" i="4"/>
  <c r="M11" i="3" l="1"/>
  <c r="N11" i="3" s="1"/>
  <c r="I11" i="3" s="1"/>
  <c r="M12" i="3"/>
  <c r="N12" i="3" s="1"/>
  <c r="H12" i="3" s="1"/>
  <c r="M8" i="3"/>
  <c r="N8" i="3" s="1"/>
  <c r="D8" i="3" s="1"/>
  <c r="E17" i="3"/>
  <c r="D17" i="3"/>
  <c r="F17" i="3"/>
  <c r="I17" i="3"/>
  <c r="B17" i="3"/>
  <c r="H17" i="3"/>
  <c r="G17" i="3"/>
  <c r="J17" i="3"/>
  <c r="C17" i="3"/>
  <c r="G11" i="3"/>
  <c r="H11" i="3"/>
  <c r="J11" i="3"/>
  <c r="F11" i="3"/>
  <c r="D11" i="3"/>
  <c r="C11" i="3"/>
  <c r="B11" i="3"/>
  <c r="E11" i="3"/>
  <c r="M4" i="3"/>
  <c r="N4" i="3" s="1"/>
  <c r="M7" i="3"/>
  <c r="N7" i="3" s="1"/>
  <c r="M10" i="3"/>
  <c r="N10" i="3" s="1"/>
  <c r="M19" i="3"/>
  <c r="N19" i="3" s="1"/>
  <c r="M14" i="3"/>
  <c r="N14" i="3" s="1"/>
  <c r="M5" i="3"/>
  <c r="N5" i="3" s="1"/>
  <c r="M15" i="3"/>
  <c r="N15" i="3" s="1"/>
  <c r="M16" i="3"/>
  <c r="N16" i="3" s="1"/>
  <c r="M6" i="3"/>
  <c r="N6" i="3" s="1"/>
  <c r="M13" i="3"/>
  <c r="N13" i="3" s="1"/>
  <c r="M18" i="3"/>
  <c r="N18" i="3" s="1"/>
  <c r="M20" i="3"/>
  <c r="N20" i="3" s="1"/>
  <c r="M22" i="3"/>
  <c r="N22" i="3" s="1"/>
  <c r="M21" i="3"/>
  <c r="N21" i="3" s="1"/>
  <c r="M9" i="3"/>
  <c r="N9" i="3" s="1"/>
  <c r="M23" i="3"/>
  <c r="N23" i="3" s="1"/>
  <c r="G8" i="3" l="1"/>
  <c r="H8" i="3"/>
  <c r="I8" i="3"/>
  <c r="G12" i="3"/>
  <c r="B8" i="3"/>
  <c r="C12" i="3"/>
  <c r="C8" i="3"/>
  <c r="I12" i="3"/>
  <c r="J8" i="3"/>
  <c r="E12" i="3"/>
  <c r="D12" i="3"/>
  <c r="F12" i="3"/>
  <c r="F8" i="3"/>
  <c r="J12" i="3"/>
  <c r="E8" i="3"/>
  <c r="B12" i="3"/>
  <c r="D20" i="3"/>
  <c r="C20" i="3"/>
  <c r="J20" i="3"/>
  <c r="B20" i="3"/>
  <c r="E20" i="3"/>
  <c r="H20" i="3"/>
  <c r="F20" i="3"/>
  <c r="G20" i="3"/>
  <c r="I20" i="3"/>
  <c r="J18" i="3"/>
  <c r="B18" i="3"/>
  <c r="I18" i="3"/>
  <c r="H18" i="3"/>
  <c r="C18" i="3"/>
  <c r="F18" i="3"/>
  <c r="E18" i="3"/>
  <c r="D18" i="3"/>
  <c r="G18" i="3"/>
  <c r="G19" i="3"/>
  <c r="F19" i="3"/>
  <c r="E19" i="3"/>
  <c r="H19" i="3"/>
  <c r="C19" i="3"/>
  <c r="B19" i="3"/>
  <c r="J19" i="3"/>
  <c r="I19" i="3"/>
  <c r="D19" i="3"/>
  <c r="J10" i="3"/>
  <c r="B10" i="3"/>
  <c r="C10" i="3"/>
  <c r="I10" i="3"/>
  <c r="E10" i="3"/>
  <c r="D10" i="3"/>
  <c r="H10" i="3"/>
  <c r="G10" i="3"/>
  <c r="F10" i="3"/>
  <c r="I13" i="3"/>
  <c r="J13" i="3"/>
  <c r="B13" i="3"/>
  <c r="H13" i="3"/>
  <c r="D13" i="3"/>
  <c r="C13" i="3"/>
  <c r="G13" i="3"/>
  <c r="F13" i="3"/>
  <c r="E13" i="3"/>
  <c r="D7" i="3"/>
  <c r="J7" i="3"/>
  <c r="F7" i="3"/>
  <c r="I7" i="3"/>
  <c r="H7" i="3"/>
  <c r="E7" i="3"/>
  <c r="B7" i="3"/>
  <c r="G7" i="3"/>
  <c r="C7" i="3"/>
  <c r="G6" i="3"/>
  <c r="C6" i="3"/>
  <c r="J6" i="3"/>
  <c r="H6" i="3"/>
  <c r="F6" i="3"/>
  <c r="B6" i="3"/>
  <c r="E6" i="3"/>
  <c r="D6" i="3"/>
  <c r="I6" i="3"/>
  <c r="G4" i="3"/>
  <c r="E4" i="3"/>
  <c r="C4" i="3"/>
  <c r="B4" i="3"/>
  <c r="F4" i="3"/>
  <c r="J4" i="3"/>
  <c r="I4" i="3"/>
  <c r="H4" i="3"/>
  <c r="D4" i="3"/>
  <c r="C23" i="3"/>
  <c r="J23" i="3"/>
  <c r="B23" i="3"/>
  <c r="I23" i="3"/>
  <c r="D23" i="3"/>
  <c r="G23" i="3"/>
  <c r="F23" i="3"/>
  <c r="E23" i="3"/>
  <c r="H23" i="3"/>
  <c r="H16" i="3"/>
  <c r="I16" i="3"/>
  <c r="G16" i="3"/>
  <c r="E16" i="3"/>
  <c r="C16" i="3"/>
  <c r="B16" i="3"/>
  <c r="F16" i="3"/>
  <c r="J16" i="3"/>
  <c r="D16" i="3"/>
  <c r="E9" i="3"/>
  <c r="F9" i="3"/>
  <c r="J9" i="3"/>
  <c r="D9" i="3"/>
  <c r="C9" i="3"/>
  <c r="I9" i="3"/>
  <c r="H9" i="3"/>
  <c r="B9" i="3"/>
  <c r="G9" i="3"/>
  <c r="C15" i="3"/>
  <c r="D15" i="3"/>
  <c r="H15" i="3"/>
  <c r="B15" i="3"/>
  <c r="G15" i="3"/>
  <c r="F15" i="3"/>
  <c r="J15" i="3"/>
  <c r="I15" i="3"/>
  <c r="E15" i="3"/>
  <c r="I21" i="3"/>
  <c r="H21" i="3"/>
  <c r="G21" i="3"/>
  <c r="J21" i="3"/>
  <c r="B21" i="3"/>
  <c r="D21" i="3"/>
  <c r="C21" i="3"/>
  <c r="F21" i="3"/>
  <c r="E21" i="3"/>
  <c r="J5" i="3"/>
  <c r="B5" i="3"/>
  <c r="E5" i="3"/>
  <c r="I5" i="3"/>
  <c r="H5" i="3"/>
  <c r="D5" i="3"/>
  <c r="C5" i="3"/>
  <c r="G5" i="3"/>
  <c r="F5" i="3"/>
  <c r="F22" i="3"/>
  <c r="E22" i="3"/>
  <c r="D22" i="3"/>
  <c r="G22" i="3"/>
  <c r="B22" i="3"/>
  <c r="J22" i="3"/>
  <c r="I22" i="3"/>
  <c r="H22" i="3"/>
  <c r="C22" i="3"/>
  <c r="F14" i="3"/>
  <c r="G14" i="3"/>
  <c r="I14" i="3"/>
  <c r="E14" i="3"/>
  <c r="C14" i="3"/>
  <c r="B14" i="3"/>
  <c r="H14" i="3"/>
  <c r="J14" i="3"/>
  <c r="D14" i="3"/>
</calcChain>
</file>

<file path=xl/sharedStrings.xml><?xml version="1.0" encoding="utf-8"?>
<sst xmlns="http://schemas.openxmlformats.org/spreadsheetml/2006/main" count="965" uniqueCount="122">
  <si>
    <t>1^ GIORNATA</t>
  </si>
  <si>
    <t>2^ GIORNATA</t>
  </si>
  <si>
    <t>3^ GIORNATA</t>
  </si>
  <si>
    <t>4^ GIORNATA</t>
  </si>
  <si>
    <t>23 Agosto 2026</t>
  </si>
  <si>
    <t>30 Agosto 2026</t>
  </si>
  <si>
    <t>6 Settembre 2026</t>
  </si>
  <si>
    <t>13 Settembre 2026</t>
  </si>
  <si>
    <t>CASA</t>
  </si>
  <si>
    <t>OSPITE</t>
  </si>
  <si>
    <t>Atalanta</t>
  </si>
  <si>
    <t>Sassuolo</t>
  </si>
  <si>
    <t>Bologna</t>
  </si>
  <si>
    <t>Cagliari</t>
  </si>
  <si>
    <t>Lazio</t>
  </si>
  <si>
    <t>Inter</t>
  </si>
  <si>
    <t>Lecce</t>
  </si>
  <si>
    <t>Como</t>
  </si>
  <si>
    <t>Parma</t>
  </si>
  <si>
    <t>Frosinone</t>
  </si>
  <si>
    <t>Juventus</t>
  </si>
  <si>
    <t>Fiorentina</t>
  </si>
  <si>
    <t>Torino</t>
  </si>
  <si>
    <t>Genoa</t>
  </si>
  <si>
    <t>Napoli</t>
  </si>
  <si>
    <t>Venezia</t>
  </si>
  <si>
    <t>Udinese</t>
  </si>
  <si>
    <t>Monza</t>
  </si>
  <si>
    <t>Milan</t>
  </si>
  <si>
    <t>Roma</t>
  </si>
  <si>
    <t>5^ GIORNATA</t>
  </si>
  <si>
    <t>6^ GIORNATA</t>
  </si>
  <si>
    <t>7^ GIORNATA</t>
  </si>
  <si>
    <t>8^ GIORNATA</t>
  </si>
  <si>
    <t>9^ GIORNATA</t>
  </si>
  <si>
    <t>20 Settembre 2026</t>
  </si>
  <si>
    <t>11 Ottobre 2026</t>
  </si>
  <si>
    <t>18 Ottobre 2026</t>
  </si>
  <si>
    <t>25 Ottobre 2026</t>
  </si>
  <si>
    <t>28 Ottobre 2026</t>
  </si>
  <si>
    <t>10^ GIORNATA</t>
  </si>
  <si>
    <t>11^ GIORNATA</t>
  </si>
  <si>
    <t>12^ GIORNATA</t>
  </si>
  <si>
    <t>13^ GIORNATA</t>
  </si>
  <si>
    <t>14^ GIORNATA</t>
  </si>
  <si>
    <t>1 Novembre 2026</t>
  </si>
  <si>
    <t>8 Novembre 2026</t>
  </si>
  <si>
    <t>22 Novembre 2026</t>
  </si>
  <si>
    <t>29 Novembre 2026</t>
  </si>
  <si>
    <t>6 Dicembre 2026</t>
  </si>
  <si>
    <t>15^ GIORNATA</t>
  </si>
  <si>
    <t>16^ GIORNATA</t>
  </si>
  <si>
    <t>17^ GIORNATA</t>
  </si>
  <si>
    <t>18^ GIORNATA</t>
  </si>
  <si>
    <t>19^ GIORNATA</t>
  </si>
  <si>
    <t>13 Dicembre 2026</t>
  </si>
  <si>
    <t>20 Dicembre 2026</t>
  </si>
  <si>
    <t>3 Gennaio 2027</t>
  </si>
  <si>
    <t>6 Gennaio 2027</t>
  </si>
  <si>
    <t>10 Gennaio 2027</t>
  </si>
  <si>
    <t>20^ GIORNATA</t>
  </si>
  <si>
    <t>21^ GIORNATA</t>
  </si>
  <si>
    <t>22^ GIORNATA</t>
  </si>
  <si>
    <t>23^ GIORNATA</t>
  </si>
  <si>
    <t>17 Gennaio 2027</t>
  </si>
  <si>
    <t>24 Gennaio 2027</t>
  </si>
  <si>
    <t>31 Gennaio 2027</t>
  </si>
  <si>
    <t>7 Febbraio 2027</t>
  </si>
  <si>
    <t>24^ GIORNATA</t>
  </si>
  <si>
    <t>25^ GIORNATA</t>
  </si>
  <si>
    <t>26^ GIORNATA</t>
  </si>
  <si>
    <t>27^ GIORNATA</t>
  </si>
  <si>
    <t>28^ GIORNATA</t>
  </si>
  <si>
    <t>14 Febbraio 2027</t>
  </si>
  <si>
    <t>21 Febbraio 2027</t>
  </si>
  <si>
    <t>28 Febbraio 2027</t>
  </si>
  <si>
    <t>7 Marzo 2027</t>
  </si>
  <si>
    <t>14 Marzo 2027</t>
  </si>
  <si>
    <t>29^ GIORNATA</t>
  </si>
  <si>
    <t>30^ GIORNATA</t>
  </si>
  <si>
    <t>31^ GIORNATA</t>
  </si>
  <si>
    <t>32^ GIORNATA</t>
  </si>
  <si>
    <t>33^ GIORNATA</t>
  </si>
  <si>
    <t>21 Marzo 2027</t>
  </si>
  <si>
    <t>4 Aprile 2027</t>
  </si>
  <si>
    <t>11 Aprile 2027</t>
  </si>
  <si>
    <t>18 Aprile 2027</t>
  </si>
  <si>
    <t>25 Aprile 2027</t>
  </si>
  <si>
    <t>34^ GIORNATA</t>
  </si>
  <si>
    <t>35^ GIORNATA</t>
  </si>
  <si>
    <t>36^ GIORNATA</t>
  </si>
  <si>
    <t>37^ GIORNATA</t>
  </si>
  <si>
    <t>38^ GIORNATA</t>
  </si>
  <si>
    <t>2 Maggio 2027</t>
  </si>
  <si>
    <t>9 Maggio 2027</t>
  </si>
  <si>
    <t>16 Maggio 2027</t>
  </si>
  <si>
    <t>23 Maggio 2027</t>
  </si>
  <si>
    <t>30 Maggio 2027</t>
  </si>
  <si>
    <t>Pos</t>
  </si>
  <si>
    <t>Squadra</t>
  </si>
  <si>
    <t>PG</t>
  </si>
  <si>
    <t>V</t>
  </si>
  <si>
    <t>N</t>
  </si>
  <si>
    <t>P</t>
  </si>
  <si>
    <t>GF</t>
  </si>
  <si>
    <t>GS</t>
  </si>
  <si>
    <t>DR</t>
  </si>
  <si>
    <t>Punti</t>
  </si>
  <si>
    <t>Home</t>
  </si>
  <si>
    <t>HG</t>
  </si>
  <si>
    <t>AG</t>
  </si>
  <si>
    <t>Away</t>
  </si>
  <si>
    <t>HP</t>
  </si>
  <si>
    <t>AP</t>
  </si>
  <si>
    <t>Played</t>
  </si>
  <si>
    <t>Key</t>
  </si>
  <si>
    <t>PuntiAnd</t>
  </si>
  <si>
    <t>DRand</t>
  </si>
  <si>
    <t>GFand</t>
  </si>
  <si>
    <t>KeyAnd</t>
  </si>
  <si>
    <t xml:space="preserve">CLASSIFICA </t>
  </si>
  <si>
    <t>Nota: Questa classifica è calcolata sulla base dei pronostici effettuati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</si>
</sst>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9"/>
      <color rgb="FF20E0C8"/>
      <name val="Arial"/>
      <family val="2"/>
    </font>
    <font>
      <b/>
      <sz val="8"/>
      <color rgb="FF071A4A"/>
      <name val="Arial"/>
      <family val="2"/>
    </font>
    <font>
      <sz val="10"/>
      <color rgb="FF0B1B3A"/>
      <name val="Arial"/>
      <family val="2"/>
    </font>
    <font>
      <b/>
      <sz val="10"/>
      <color rgb="FF0B1B3A"/>
      <name val="Arial"/>
      <family val="2"/>
    </font>
    <font>
      <b/>
      <sz val="14"/>
      <color rgb="FFFFFFFF"/>
      <name val="Arial"/>
      <family val="2"/>
    </font>
    <font>
      <i/>
      <sz val="9"/>
      <color rgb="FF20E0C8"/>
      <name val="Arial"/>
      <family val="2"/>
    </font>
    <font>
      <b/>
      <sz val="10"/>
      <color rgb="FF071A4A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71A4A"/>
        <bgColor rgb="FF0B1B3A"/>
      </patternFill>
    </fill>
    <fill>
      <patternFill patternType="solid">
        <fgColor rgb="FF0E2A6B"/>
        <bgColor rgb="FF071A4A"/>
      </patternFill>
    </fill>
    <fill>
      <patternFill patternType="solid">
        <fgColor rgb="FF20E0C8"/>
        <bgColor rgb="FF00CCFF"/>
      </patternFill>
    </fill>
    <fill>
      <patternFill patternType="solid">
        <fgColor rgb="FFEEF2F8"/>
        <bgColor rgb="FFDDF7F1"/>
      </patternFill>
    </fill>
    <fill>
      <patternFill patternType="solid">
        <fgColor rgb="FFFFFFFF"/>
        <bgColor rgb="FFEEF2F8"/>
      </patternFill>
    </fill>
    <fill>
      <patternFill patternType="solid">
        <fgColor rgb="FFDDF7F1"/>
        <bgColor rgb="FFEEF2F8"/>
      </patternFill>
    </fill>
    <fill>
      <patternFill patternType="solid">
        <fgColor theme="0"/>
        <bgColor rgb="FFEEF2F8"/>
      </patternFill>
    </fill>
  </fills>
  <borders count="2">
    <border>
      <left/>
      <right/>
      <top/>
      <bottom/>
      <diagonal/>
    </border>
    <border>
      <left style="thin">
        <color rgb="FFC3CCDD"/>
      </left>
      <right style="thin">
        <color rgb="FFC3CCDD"/>
      </right>
      <top style="thin">
        <color rgb="FFC3CCDD"/>
      </top>
      <bottom style="thin">
        <color rgb="FFC3CCD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 indent="1"/>
    </xf>
    <xf numFmtId="0" fontId="5" fillId="6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right" vertical="center" indent="1"/>
    </xf>
    <xf numFmtId="0" fontId="4" fillId="6" borderId="1" xfId="0" applyFont="1" applyFill="1" applyBorder="1" applyAlignment="1">
      <alignment horizontal="left" vertical="center" indent="1"/>
    </xf>
    <xf numFmtId="0" fontId="8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71A4A"/>
      <rgbColor rgb="FF808000"/>
      <rgbColor rgb="FF800080"/>
      <rgbColor rgb="FF008080"/>
      <rgbColor rgb="FFC0C0C0"/>
      <rgbColor rgb="FF808080"/>
      <rgbColor rgb="FF9999FF"/>
      <rgbColor rgb="FF993366"/>
      <rgbColor rgb="FFEEF2F8"/>
      <rgbColor rgb="FFDDF7F1"/>
      <rgbColor rgb="FF660066"/>
      <rgbColor rgb="FFFF8080"/>
      <rgbColor rgb="FF0066CC"/>
      <rgbColor rgb="FFC3CC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0E0C8"/>
      <rgbColor rgb="FF99CC00"/>
      <rgbColor rgb="FFFFCC00"/>
      <rgbColor rgb="FFFF9900"/>
      <rgbColor rgb="FFFF6600"/>
      <rgbColor rgb="FF555555"/>
      <rgbColor rgb="FF969696"/>
      <rgbColor rgb="FF0E2A6B"/>
      <rgbColor rgb="FF339966"/>
      <rgbColor rgb="FF0B1B3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6"/>
  <sheetViews>
    <sheetView showGridLines="0" tabSelected="1" topLeftCell="A43" zoomScaleNormal="100" workbookViewId="0">
      <selection activeCell="E4" sqref="E4:F13"/>
    </sheetView>
  </sheetViews>
  <sheetFormatPr baseColWidth="10" defaultColWidth="8.6640625" defaultRowHeight="15" x14ac:dyDescent="0.2"/>
  <cols>
    <col min="1" max="1" width="11" customWidth="1"/>
    <col min="2" max="3" width="4.5" customWidth="1"/>
    <col min="4" max="4" width="11" customWidth="1"/>
    <col min="5" max="6" width="4.5" customWidth="1"/>
    <col min="7" max="7" width="11" customWidth="1"/>
    <col min="8" max="9" width="4.5" customWidth="1"/>
    <col min="10" max="10" width="11" customWidth="1"/>
    <col min="11" max="12" width="4.5" customWidth="1"/>
    <col min="13" max="13" width="11" customWidth="1"/>
    <col min="14" max="15" width="4.5" customWidth="1"/>
    <col min="16" max="16" width="11" customWidth="1"/>
    <col min="17" max="18" width="4.5" customWidth="1"/>
    <col min="19" max="19" width="11" customWidth="1"/>
    <col min="20" max="21" width="4.5" customWidth="1"/>
    <col min="22" max="22" width="11" customWidth="1"/>
    <col min="23" max="24" width="4.5" customWidth="1"/>
    <col min="25" max="25" width="11" customWidth="1"/>
    <col min="26" max="27" width="4.5" customWidth="1"/>
    <col min="28" max="28" width="11" customWidth="1"/>
  </cols>
  <sheetData>
    <row r="1" spans="1:28" ht="21.75" customHeight="1" x14ac:dyDescent="0.2">
      <c r="D1" s="20" t="s">
        <v>0</v>
      </c>
      <c r="E1" s="20"/>
      <c r="F1" s="20"/>
      <c r="G1" s="20"/>
      <c r="J1" s="20" t="s">
        <v>1</v>
      </c>
      <c r="K1" s="20"/>
      <c r="L1" s="20"/>
      <c r="M1" s="20"/>
      <c r="P1" s="20" t="s">
        <v>2</v>
      </c>
      <c r="Q1" s="20"/>
      <c r="R1" s="20"/>
      <c r="S1" s="20"/>
      <c r="V1" s="20" t="s">
        <v>3</v>
      </c>
      <c r="W1" s="20"/>
      <c r="X1" s="20"/>
      <c r="Y1" s="20"/>
    </row>
    <row r="2" spans="1:28" ht="15.75" customHeight="1" x14ac:dyDescent="0.2">
      <c r="D2" s="21" t="s">
        <v>4</v>
      </c>
      <c r="E2" s="21"/>
      <c r="F2" s="21"/>
      <c r="G2" s="21"/>
      <c r="J2" s="21" t="s">
        <v>5</v>
      </c>
      <c r="K2" s="21"/>
      <c r="L2" s="21"/>
      <c r="M2" s="21"/>
      <c r="P2" s="21" t="s">
        <v>6</v>
      </c>
      <c r="Q2" s="21"/>
      <c r="R2" s="21"/>
      <c r="S2" s="21"/>
      <c r="V2" s="21" t="s">
        <v>7</v>
      </c>
      <c r="W2" s="21"/>
      <c r="X2" s="21"/>
      <c r="Y2" s="21"/>
    </row>
    <row r="3" spans="1:28" ht="13.5" customHeight="1" x14ac:dyDescent="0.2">
      <c r="D3" s="1" t="s">
        <v>8</v>
      </c>
      <c r="E3" s="1"/>
      <c r="F3" s="1"/>
      <c r="G3" s="1" t="s">
        <v>9</v>
      </c>
      <c r="J3" s="1" t="s">
        <v>8</v>
      </c>
      <c r="K3" s="1"/>
      <c r="L3" s="1"/>
      <c r="M3" s="1" t="s">
        <v>9</v>
      </c>
      <c r="P3" s="1" t="s">
        <v>8</v>
      </c>
      <c r="Q3" s="1"/>
      <c r="R3" s="1"/>
      <c r="S3" s="1" t="s">
        <v>9</v>
      </c>
      <c r="V3" s="1" t="s">
        <v>8</v>
      </c>
      <c r="W3" s="1"/>
      <c r="X3" s="1"/>
      <c r="Y3" s="1" t="s">
        <v>9</v>
      </c>
    </row>
    <row r="4" spans="1:28" ht="18" customHeight="1" x14ac:dyDescent="0.2">
      <c r="D4" s="2" t="s">
        <v>10</v>
      </c>
      <c r="E4" s="3"/>
      <c r="F4" s="3"/>
      <c r="G4" s="4" t="s">
        <v>11</v>
      </c>
      <c r="J4" s="2" t="s">
        <v>10</v>
      </c>
      <c r="K4" s="3"/>
      <c r="L4" s="3"/>
      <c r="M4" s="4" t="s">
        <v>12</v>
      </c>
      <c r="P4" s="2" t="s">
        <v>12</v>
      </c>
      <c r="Q4" s="3"/>
      <c r="R4" s="3"/>
      <c r="S4" s="4" t="s">
        <v>11</v>
      </c>
      <c r="V4" s="2" t="s">
        <v>10</v>
      </c>
      <c r="W4" s="3"/>
      <c r="X4" s="3"/>
      <c r="Y4" s="4" t="s">
        <v>13</v>
      </c>
    </row>
    <row r="5" spans="1:28" ht="18" customHeight="1" x14ac:dyDescent="0.2">
      <c r="D5" s="5" t="s">
        <v>12</v>
      </c>
      <c r="E5" s="3"/>
      <c r="F5" s="3"/>
      <c r="G5" s="6" t="s">
        <v>14</v>
      </c>
      <c r="J5" s="5" t="s">
        <v>13</v>
      </c>
      <c r="K5" s="3"/>
      <c r="L5" s="3"/>
      <c r="M5" s="6" t="s">
        <v>15</v>
      </c>
      <c r="P5" s="5" t="s">
        <v>13</v>
      </c>
      <c r="Q5" s="3"/>
      <c r="R5" s="3"/>
      <c r="S5" s="6" t="s">
        <v>16</v>
      </c>
      <c r="V5" s="5" t="s">
        <v>17</v>
      </c>
      <c r="W5" s="3"/>
      <c r="X5" s="3"/>
      <c r="Y5" s="6" t="s">
        <v>18</v>
      </c>
    </row>
    <row r="6" spans="1:28" ht="18" customHeight="1" x14ac:dyDescent="0.2">
      <c r="D6" s="2" t="s">
        <v>19</v>
      </c>
      <c r="E6" s="3"/>
      <c r="F6" s="3"/>
      <c r="G6" s="4" t="s">
        <v>20</v>
      </c>
      <c r="J6" s="2" t="s">
        <v>21</v>
      </c>
      <c r="K6" s="3"/>
      <c r="L6" s="3"/>
      <c r="M6" s="4" t="s">
        <v>19</v>
      </c>
      <c r="P6" s="2" t="s">
        <v>21</v>
      </c>
      <c r="Q6" s="3"/>
      <c r="R6" s="3"/>
      <c r="S6" s="4" t="s">
        <v>22</v>
      </c>
      <c r="V6" s="2" t="s">
        <v>23</v>
      </c>
      <c r="W6" s="3"/>
      <c r="X6" s="3"/>
      <c r="Y6" s="4" t="s">
        <v>19</v>
      </c>
    </row>
    <row r="7" spans="1:28" ht="18" customHeight="1" x14ac:dyDescent="0.2">
      <c r="D7" s="5" t="s">
        <v>23</v>
      </c>
      <c r="E7" s="3"/>
      <c r="F7" s="3"/>
      <c r="G7" s="6" t="s">
        <v>24</v>
      </c>
      <c r="J7" s="5" t="s">
        <v>20</v>
      </c>
      <c r="K7" s="3"/>
      <c r="L7" s="3"/>
      <c r="M7" s="6" t="s">
        <v>18</v>
      </c>
      <c r="P7" s="5" t="s">
        <v>19</v>
      </c>
      <c r="Q7" s="3"/>
      <c r="R7" s="3"/>
      <c r="S7" s="6" t="s">
        <v>25</v>
      </c>
      <c r="V7" s="5" t="s">
        <v>15</v>
      </c>
      <c r="W7" s="3"/>
      <c r="X7" s="3"/>
      <c r="Y7" s="6" t="s">
        <v>26</v>
      </c>
    </row>
    <row r="8" spans="1:28" ht="18" customHeight="1" x14ac:dyDescent="0.2">
      <c r="D8" s="2" t="s">
        <v>15</v>
      </c>
      <c r="E8" s="3"/>
      <c r="F8" s="3"/>
      <c r="G8" s="4" t="s">
        <v>27</v>
      </c>
      <c r="J8" s="2" t="s">
        <v>14</v>
      </c>
      <c r="K8" s="3"/>
      <c r="L8" s="3"/>
      <c r="M8" s="4" t="s">
        <v>23</v>
      </c>
      <c r="P8" s="2" t="s">
        <v>23</v>
      </c>
      <c r="Q8" s="3"/>
      <c r="R8" s="3"/>
      <c r="S8" s="4" t="s">
        <v>17</v>
      </c>
      <c r="V8" s="2" t="s">
        <v>14</v>
      </c>
      <c r="W8" s="3"/>
      <c r="X8" s="3"/>
      <c r="Y8" s="4" t="s">
        <v>28</v>
      </c>
    </row>
    <row r="9" spans="1:28" ht="18" customHeight="1" x14ac:dyDescent="0.2">
      <c r="D9" s="5" t="s">
        <v>18</v>
      </c>
      <c r="E9" s="3"/>
      <c r="F9" s="3"/>
      <c r="G9" s="6" t="s">
        <v>13</v>
      </c>
      <c r="J9" s="5" t="s">
        <v>16</v>
      </c>
      <c r="K9" s="3"/>
      <c r="L9" s="3"/>
      <c r="M9" s="6" t="s">
        <v>29</v>
      </c>
      <c r="P9" s="5" t="s">
        <v>15</v>
      </c>
      <c r="Q9" s="3"/>
      <c r="R9" s="3"/>
      <c r="S9" s="6" t="s">
        <v>24</v>
      </c>
      <c r="V9" s="5" t="s">
        <v>16</v>
      </c>
      <c r="W9" s="3"/>
      <c r="X9" s="3"/>
      <c r="Y9" s="6" t="s">
        <v>27</v>
      </c>
    </row>
    <row r="10" spans="1:28" ht="18" customHeight="1" x14ac:dyDescent="0.2">
      <c r="D10" s="2" t="s">
        <v>29</v>
      </c>
      <c r="E10" s="3"/>
      <c r="F10" s="3"/>
      <c r="G10" s="4" t="s">
        <v>21</v>
      </c>
      <c r="J10" s="2" t="s">
        <v>28</v>
      </c>
      <c r="K10" s="3"/>
      <c r="L10" s="3"/>
      <c r="M10" s="4" t="s">
        <v>25</v>
      </c>
      <c r="P10" s="2" t="s">
        <v>20</v>
      </c>
      <c r="Q10" s="3"/>
      <c r="R10" s="3"/>
      <c r="S10" s="4" t="s">
        <v>28</v>
      </c>
      <c r="V10" s="2" t="s">
        <v>24</v>
      </c>
      <c r="W10" s="3"/>
      <c r="X10" s="3"/>
      <c r="Y10" s="4" t="s">
        <v>12</v>
      </c>
    </row>
    <row r="11" spans="1:28" ht="18" customHeight="1" x14ac:dyDescent="0.2">
      <c r="D11" s="5" t="s">
        <v>22</v>
      </c>
      <c r="E11" s="3"/>
      <c r="F11" s="3"/>
      <c r="G11" s="6" t="s">
        <v>28</v>
      </c>
      <c r="J11" s="5" t="s">
        <v>27</v>
      </c>
      <c r="K11" s="3"/>
      <c r="L11" s="3"/>
      <c r="M11" s="6" t="s">
        <v>26</v>
      </c>
      <c r="P11" s="5" t="s">
        <v>18</v>
      </c>
      <c r="Q11" s="3"/>
      <c r="R11" s="3"/>
      <c r="S11" s="6" t="s">
        <v>27</v>
      </c>
      <c r="V11" s="5" t="s">
        <v>11</v>
      </c>
      <c r="W11" s="3"/>
      <c r="X11" s="3"/>
      <c r="Y11" s="6" t="s">
        <v>20</v>
      </c>
    </row>
    <row r="12" spans="1:28" ht="18" customHeight="1" x14ac:dyDescent="0.2">
      <c r="D12" s="2" t="s">
        <v>26</v>
      </c>
      <c r="E12" s="3"/>
      <c r="F12" s="3"/>
      <c r="G12" s="4" t="s">
        <v>17</v>
      </c>
      <c r="J12" s="2" t="s">
        <v>24</v>
      </c>
      <c r="K12" s="3"/>
      <c r="L12" s="3"/>
      <c r="M12" s="4" t="s">
        <v>17</v>
      </c>
      <c r="P12" s="2" t="s">
        <v>29</v>
      </c>
      <c r="Q12" s="3"/>
      <c r="R12" s="3"/>
      <c r="S12" s="4" t="s">
        <v>10</v>
      </c>
      <c r="V12" s="2" t="s">
        <v>22</v>
      </c>
      <c r="W12" s="3"/>
      <c r="X12" s="3"/>
      <c r="Y12" s="4" t="s">
        <v>29</v>
      </c>
    </row>
    <row r="13" spans="1:28" ht="18" customHeight="1" x14ac:dyDescent="0.2">
      <c r="D13" s="5" t="s">
        <v>25</v>
      </c>
      <c r="E13" s="3"/>
      <c r="F13" s="3"/>
      <c r="G13" s="6" t="s">
        <v>16</v>
      </c>
      <c r="J13" s="5" t="s">
        <v>11</v>
      </c>
      <c r="K13" s="3"/>
      <c r="L13" s="3"/>
      <c r="M13" s="6" t="s">
        <v>22</v>
      </c>
      <c r="P13" s="5" t="s">
        <v>26</v>
      </c>
      <c r="Q13" s="3"/>
      <c r="R13" s="3"/>
      <c r="S13" s="6" t="s">
        <v>14</v>
      </c>
      <c r="V13" s="5" t="s">
        <v>25</v>
      </c>
      <c r="W13" s="3"/>
      <c r="X13" s="3"/>
      <c r="Y13" s="6" t="s">
        <v>21</v>
      </c>
    </row>
    <row r="14" spans="1:28" ht="7.5" customHeight="1" x14ac:dyDescent="0.2"/>
    <row r="15" spans="1:28" ht="21.75" customHeight="1" x14ac:dyDescent="0.2">
      <c r="A15" s="20" t="s">
        <v>30</v>
      </c>
      <c r="B15" s="20"/>
      <c r="C15" s="20"/>
      <c r="D15" s="20"/>
      <c r="G15" s="20" t="s">
        <v>31</v>
      </c>
      <c r="H15" s="20"/>
      <c r="I15" s="20"/>
      <c r="J15" s="20"/>
      <c r="M15" s="20" t="s">
        <v>32</v>
      </c>
      <c r="N15" s="20"/>
      <c r="O15" s="20"/>
      <c r="P15" s="20"/>
      <c r="S15" s="20" t="s">
        <v>33</v>
      </c>
      <c r="T15" s="20"/>
      <c r="U15" s="20"/>
      <c r="V15" s="20"/>
      <c r="Y15" s="20" t="s">
        <v>34</v>
      </c>
      <c r="Z15" s="20"/>
      <c r="AA15" s="20"/>
      <c r="AB15" s="20"/>
    </row>
    <row r="16" spans="1:28" ht="15.75" customHeight="1" x14ac:dyDescent="0.2">
      <c r="A16" s="21" t="s">
        <v>35</v>
      </c>
      <c r="B16" s="21"/>
      <c r="C16" s="21"/>
      <c r="D16" s="21"/>
      <c r="G16" s="21" t="s">
        <v>36</v>
      </c>
      <c r="H16" s="21"/>
      <c r="I16" s="21"/>
      <c r="J16" s="21"/>
      <c r="M16" s="21" t="s">
        <v>37</v>
      </c>
      <c r="N16" s="21"/>
      <c r="O16" s="21"/>
      <c r="P16" s="21"/>
      <c r="S16" s="21" t="s">
        <v>38</v>
      </c>
      <c r="T16" s="21"/>
      <c r="U16" s="21"/>
      <c r="V16" s="21"/>
      <c r="Y16" s="21" t="s">
        <v>39</v>
      </c>
      <c r="Z16" s="21"/>
      <c r="AA16" s="21"/>
      <c r="AB16" s="21"/>
    </row>
    <row r="17" spans="1:28" ht="13.5" customHeight="1" x14ac:dyDescent="0.2">
      <c r="A17" s="1" t="s">
        <v>8</v>
      </c>
      <c r="B17" s="1"/>
      <c r="C17" s="1"/>
      <c r="D17" s="1" t="s">
        <v>9</v>
      </c>
      <c r="G17" s="1" t="s">
        <v>8</v>
      </c>
      <c r="H17" s="1"/>
      <c r="I17" s="1"/>
      <c r="J17" s="1" t="s">
        <v>9</v>
      </c>
      <c r="M17" s="1" t="s">
        <v>8</v>
      </c>
      <c r="N17" s="1"/>
      <c r="O17" s="1"/>
      <c r="P17" s="1" t="s">
        <v>9</v>
      </c>
      <c r="S17" s="1" t="s">
        <v>8</v>
      </c>
      <c r="T17" s="1"/>
      <c r="U17" s="1"/>
      <c r="V17" s="1" t="s">
        <v>9</v>
      </c>
      <c r="Y17" s="1" t="s">
        <v>8</v>
      </c>
      <c r="Z17" s="1"/>
      <c r="AA17" s="1"/>
      <c r="AB17" s="1" t="s">
        <v>9</v>
      </c>
    </row>
    <row r="18" spans="1:28" ht="18" customHeight="1" x14ac:dyDescent="0.2">
      <c r="A18" s="2" t="s">
        <v>12</v>
      </c>
      <c r="B18" s="3"/>
      <c r="C18" s="3"/>
      <c r="D18" s="4" t="s">
        <v>22</v>
      </c>
      <c r="G18" s="2" t="s">
        <v>10</v>
      </c>
      <c r="H18" s="3"/>
      <c r="I18" s="3"/>
      <c r="J18" s="4" t="s">
        <v>25</v>
      </c>
      <c r="M18" s="2" t="s">
        <v>12</v>
      </c>
      <c r="N18" s="3"/>
      <c r="O18" s="3"/>
      <c r="P18" s="4" t="s">
        <v>15</v>
      </c>
      <c r="S18" s="2" t="s">
        <v>10</v>
      </c>
      <c r="T18" s="3"/>
      <c r="U18" s="3"/>
      <c r="V18" s="4" t="s">
        <v>19</v>
      </c>
      <c r="Y18" s="2" t="s">
        <v>21</v>
      </c>
      <c r="Z18" s="3"/>
      <c r="AA18" s="3"/>
      <c r="AB18" s="4" t="s">
        <v>10</v>
      </c>
    </row>
    <row r="19" spans="1:28" ht="18" customHeight="1" x14ac:dyDescent="0.2">
      <c r="A19" s="5" t="s">
        <v>21</v>
      </c>
      <c r="B19" s="3"/>
      <c r="C19" s="3"/>
      <c r="D19" s="6" t="s">
        <v>24</v>
      </c>
      <c r="G19" s="5" t="s">
        <v>13</v>
      </c>
      <c r="H19" s="3"/>
      <c r="I19" s="3"/>
      <c r="J19" s="6" t="s">
        <v>20</v>
      </c>
      <c r="M19" s="5" t="s">
        <v>21</v>
      </c>
      <c r="N19" s="3"/>
      <c r="O19" s="3"/>
      <c r="P19" s="6" t="s">
        <v>17</v>
      </c>
      <c r="S19" s="5" t="s">
        <v>13</v>
      </c>
      <c r="T19" s="3"/>
      <c r="U19" s="3"/>
      <c r="V19" s="6" t="s">
        <v>12</v>
      </c>
      <c r="Y19" s="5" t="s">
        <v>19</v>
      </c>
      <c r="Z19" s="3"/>
      <c r="AA19" s="3"/>
      <c r="AB19" s="6" t="s">
        <v>16</v>
      </c>
    </row>
    <row r="20" spans="1:28" ht="18" customHeight="1" x14ac:dyDescent="0.2">
      <c r="A20" s="2" t="s">
        <v>19</v>
      </c>
      <c r="B20" s="3"/>
      <c r="C20" s="3"/>
      <c r="D20" s="4" t="s">
        <v>17</v>
      </c>
      <c r="G20" s="2" t="s">
        <v>17</v>
      </c>
      <c r="H20" s="3"/>
      <c r="I20" s="3"/>
      <c r="J20" s="4" t="s">
        <v>29</v>
      </c>
      <c r="M20" s="2" t="s">
        <v>19</v>
      </c>
      <c r="N20" s="3"/>
      <c r="O20" s="3"/>
      <c r="P20" s="4" t="s">
        <v>11</v>
      </c>
      <c r="S20" s="2" t="s">
        <v>17</v>
      </c>
      <c r="T20" s="3"/>
      <c r="U20" s="3"/>
      <c r="V20" s="4" t="s">
        <v>11</v>
      </c>
      <c r="Y20" s="2" t="s">
        <v>23</v>
      </c>
      <c r="Z20" s="3"/>
      <c r="AA20" s="3"/>
      <c r="AB20" s="4" t="s">
        <v>20</v>
      </c>
    </row>
    <row r="21" spans="1:28" ht="18" customHeight="1" x14ac:dyDescent="0.2">
      <c r="A21" s="5" t="s">
        <v>20</v>
      </c>
      <c r="B21" s="3"/>
      <c r="C21" s="3"/>
      <c r="D21" s="6" t="s">
        <v>10</v>
      </c>
      <c r="G21" s="5" t="s">
        <v>23</v>
      </c>
      <c r="H21" s="3"/>
      <c r="I21" s="3"/>
      <c r="J21" s="6" t="s">
        <v>21</v>
      </c>
      <c r="M21" s="5" t="s">
        <v>20</v>
      </c>
      <c r="N21" s="3"/>
      <c r="O21" s="3"/>
      <c r="P21" s="6" t="s">
        <v>14</v>
      </c>
      <c r="S21" s="5" t="s">
        <v>23</v>
      </c>
      <c r="T21" s="3"/>
      <c r="U21" s="3"/>
      <c r="V21" s="6" t="s">
        <v>25</v>
      </c>
      <c r="Y21" s="5" t="s">
        <v>28</v>
      </c>
      <c r="Z21" s="3"/>
      <c r="AA21" s="3"/>
      <c r="AB21" s="6" t="s">
        <v>12</v>
      </c>
    </row>
    <row r="22" spans="1:28" ht="18" customHeight="1" x14ac:dyDescent="0.2">
      <c r="A22" s="2" t="s">
        <v>28</v>
      </c>
      <c r="B22" s="3"/>
      <c r="C22" s="3"/>
      <c r="D22" s="4" t="s">
        <v>16</v>
      </c>
      <c r="G22" s="2" t="s">
        <v>15</v>
      </c>
      <c r="H22" s="3"/>
      <c r="I22" s="3"/>
      <c r="J22" s="4" t="s">
        <v>18</v>
      </c>
      <c r="M22" s="2" t="s">
        <v>28</v>
      </c>
      <c r="N22" s="3"/>
      <c r="O22" s="3"/>
      <c r="P22" s="4" t="s">
        <v>10</v>
      </c>
      <c r="S22" s="2" t="s">
        <v>15</v>
      </c>
      <c r="T22" s="3"/>
      <c r="U22" s="3"/>
      <c r="V22" s="4" t="s">
        <v>21</v>
      </c>
      <c r="Y22" s="2" t="s">
        <v>27</v>
      </c>
      <c r="Z22" s="3"/>
      <c r="AA22" s="3"/>
      <c r="AB22" s="4" t="s">
        <v>24</v>
      </c>
    </row>
    <row r="23" spans="1:28" ht="18" customHeight="1" x14ac:dyDescent="0.2">
      <c r="A23" s="5" t="s">
        <v>27</v>
      </c>
      <c r="B23" s="3"/>
      <c r="C23" s="3"/>
      <c r="D23" s="6" t="s">
        <v>11</v>
      </c>
      <c r="G23" s="5" t="s">
        <v>14</v>
      </c>
      <c r="H23" s="3"/>
      <c r="I23" s="3"/>
      <c r="J23" s="6" t="s">
        <v>27</v>
      </c>
      <c r="M23" s="5" t="s">
        <v>27</v>
      </c>
      <c r="N23" s="3"/>
      <c r="O23" s="3"/>
      <c r="P23" s="6" t="s">
        <v>13</v>
      </c>
      <c r="S23" s="5" t="s">
        <v>14</v>
      </c>
      <c r="T23" s="3"/>
      <c r="U23" s="3"/>
      <c r="V23" s="6" t="s">
        <v>18</v>
      </c>
      <c r="Y23" s="5" t="s">
        <v>18</v>
      </c>
      <c r="Z23" s="3"/>
      <c r="AA23" s="3"/>
      <c r="AB23" s="6" t="s">
        <v>26</v>
      </c>
    </row>
    <row r="24" spans="1:28" ht="18" customHeight="1" x14ac:dyDescent="0.2">
      <c r="A24" s="2" t="s">
        <v>18</v>
      </c>
      <c r="B24" s="3"/>
      <c r="C24" s="3"/>
      <c r="D24" s="4" t="s">
        <v>23</v>
      </c>
      <c r="G24" s="2" t="s">
        <v>16</v>
      </c>
      <c r="H24" s="3"/>
      <c r="I24" s="3"/>
      <c r="J24" s="4" t="s">
        <v>12</v>
      </c>
      <c r="M24" s="2" t="s">
        <v>18</v>
      </c>
      <c r="N24" s="3"/>
      <c r="O24" s="3"/>
      <c r="P24" s="4" t="s">
        <v>22</v>
      </c>
      <c r="S24" s="2" t="s">
        <v>16</v>
      </c>
      <c r="T24" s="3"/>
      <c r="U24" s="3"/>
      <c r="V24" s="4" t="s">
        <v>20</v>
      </c>
      <c r="Y24" s="2" t="s">
        <v>29</v>
      </c>
      <c r="Z24" s="3"/>
      <c r="AA24" s="3"/>
      <c r="AB24" s="4" t="s">
        <v>13</v>
      </c>
    </row>
    <row r="25" spans="1:28" ht="18" customHeight="1" x14ac:dyDescent="0.2">
      <c r="A25" s="5" t="s">
        <v>29</v>
      </c>
      <c r="B25" s="3"/>
      <c r="C25" s="3"/>
      <c r="D25" s="6" t="s">
        <v>15</v>
      </c>
      <c r="G25" s="5" t="s">
        <v>24</v>
      </c>
      <c r="H25" s="3"/>
      <c r="I25" s="3"/>
      <c r="J25" s="6" t="s">
        <v>19</v>
      </c>
      <c r="M25" s="5" t="s">
        <v>29</v>
      </c>
      <c r="N25" s="3"/>
      <c r="O25" s="3"/>
      <c r="P25" s="6" t="s">
        <v>23</v>
      </c>
      <c r="S25" s="5" t="s">
        <v>24</v>
      </c>
      <c r="T25" s="3"/>
      <c r="U25" s="3"/>
      <c r="V25" s="6" t="s">
        <v>29</v>
      </c>
      <c r="Y25" s="5" t="s">
        <v>11</v>
      </c>
      <c r="Z25" s="3"/>
      <c r="AA25" s="3"/>
      <c r="AB25" s="6" t="s">
        <v>14</v>
      </c>
    </row>
    <row r="26" spans="1:28" ht="18" customHeight="1" x14ac:dyDescent="0.2">
      <c r="A26" s="2" t="s">
        <v>26</v>
      </c>
      <c r="B26" s="3"/>
      <c r="C26" s="3"/>
      <c r="D26" s="4" t="s">
        <v>13</v>
      </c>
      <c r="G26" s="2" t="s">
        <v>11</v>
      </c>
      <c r="H26" s="3"/>
      <c r="I26" s="3"/>
      <c r="J26" s="4" t="s">
        <v>28</v>
      </c>
      <c r="M26" s="2" t="s">
        <v>26</v>
      </c>
      <c r="N26" s="3"/>
      <c r="O26" s="3"/>
      <c r="P26" s="4" t="s">
        <v>16</v>
      </c>
      <c r="S26" s="2" t="s">
        <v>22</v>
      </c>
      <c r="T26" s="3"/>
      <c r="U26" s="3"/>
      <c r="V26" s="4" t="s">
        <v>27</v>
      </c>
      <c r="Y26" s="2" t="s">
        <v>22</v>
      </c>
      <c r="Z26" s="3"/>
      <c r="AA26" s="3"/>
      <c r="AB26" s="4" t="s">
        <v>17</v>
      </c>
    </row>
    <row r="27" spans="1:28" ht="18" customHeight="1" x14ac:dyDescent="0.2">
      <c r="A27" s="5" t="s">
        <v>25</v>
      </c>
      <c r="B27" s="3"/>
      <c r="C27" s="3"/>
      <c r="D27" s="6" t="s">
        <v>14</v>
      </c>
      <c r="G27" s="5" t="s">
        <v>22</v>
      </c>
      <c r="H27" s="3"/>
      <c r="I27" s="3"/>
      <c r="J27" s="6" t="s">
        <v>26</v>
      </c>
      <c r="M27" s="5" t="s">
        <v>25</v>
      </c>
      <c r="N27" s="3"/>
      <c r="O27" s="3"/>
      <c r="P27" s="6" t="s">
        <v>24</v>
      </c>
      <c r="S27" s="5" t="s">
        <v>26</v>
      </c>
      <c r="T27" s="3"/>
      <c r="U27" s="3"/>
      <c r="V27" s="6" t="s">
        <v>28</v>
      </c>
      <c r="Y27" s="5" t="s">
        <v>25</v>
      </c>
      <c r="Z27" s="3"/>
      <c r="AA27" s="3"/>
      <c r="AB27" s="6" t="s">
        <v>15</v>
      </c>
    </row>
    <row r="28" spans="1:28" ht="7.5" customHeight="1" x14ac:dyDescent="0.2"/>
    <row r="29" spans="1:28" ht="21.75" customHeight="1" x14ac:dyDescent="0.2">
      <c r="A29" s="20" t="s">
        <v>40</v>
      </c>
      <c r="B29" s="20"/>
      <c r="C29" s="20"/>
      <c r="D29" s="20"/>
      <c r="G29" s="20" t="s">
        <v>41</v>
      </c>
      <c r="H29" s="20"/>
      <c r="I29" s="20"/>
      <c r="J29" s="20"/>
      <c r="M29" s="20" t="s">
        <v>42</v>
      </c>
      <c r="N29" s="20"/>
      <c r="O29" s="20"/>
      <c r="P29" s="20"/>
      <c r="S29" s="20" t="s">
        <v>43</v>
      </c>
      <c r="T29" s="20"/>
      <c r="U29" s="20"/>
      <c r="V29" s="20"/>
      <c r="Y29" s="20" t="s">
        <v>44</v>
      </c>
      <c r="Z29" s="20"/>
      <c r="AA29" s="20"/>
      <c r="AB29" s="20"/>
    </row>
    <row r="30" spans="1:28" ht="15.75" customHeight="1" x14ac:dyDescent="0.2">
      <c r="A30" s="21" t="s">
        <v>45</v>
      </c>
      <c r="B30" s="21"/>
      <c r="C30" s="21"/>
      <c r="D30" s="21"/>
      <c r="G30" s="21" t="s">
        <v>46</v>
      </c>
      <c r="H30" s="21"/>
      <c r="I30" s="21"/>
      <c r="J30" s="21"/>
      <c r="M30" s="21" t="s">
        <v>47</v>
      </c>
      <c r="N30" s="21"/>
      <c r="O30" s="21"/>
      <c r="P30" s="21"/>
      <c r="S30" s="21" t="s">
        <v>48</v>
      </c>
      <c r="T30" s="21"/>
      <c r="U30" s="21"/>
      <c r="V30" s="21"/>
      <c r="Y30" s="21" t="s">
        <v>49</v>
      </c>
      <c r="Z30" s="21"/>
      <c r="AA30" s="21"/>
      <c r="AB30" s="21"/>
    </row>
    <row r="31" spans="1:28" ht="13.5" customHeight="1" x14ac:dyDescent="0.2">
      <c r="A31" s="1" t="s">
        <v>8</v>
      </c>
      <c r="B31" s="1"/>
      <c r="C31" s="1"/>
      <c r="D31" s="1" t="s">
        <v>9</v>
      </c>
      <c r="G31" s="1" t="s">
        <v>8</v>
      </c>
      <c r="H31" s="1"/>
      <c r="I31" s="1"/>
      <c r="J31" s="1" t="s">
        <v>9</v>
      </c>
      <c r="M31" s="1" t="s">
        <v>8</v>
      </c>
      <c r="N31" s="1"/>
      <c r="O31" s="1"/>
      <c r="P31" s="1" t="s">
        <v>9</v>
      </c>
      <c r="S31" s="1" t="s">
        <v>8</v>
      </c>
      <c r="T31" s="1"/>
      <c r="U31" s="1"/>
      <c r="V31" s="1" t="s">
        <v>9</v>
      </c>
      <c r="Y31" s="1" t="s">
        <v>8</v>
      </c>
      <c r="Z31" s="1"/>
      <c r="AA31" s="1"/>
      <c r="AB31" s="1" t="s">
        <v>9</v>
      </c>
    </row>
    <row r="32" spans="1:28" ht="18" customHeight="1" x14ac:dyDescent="0.2">
      <c r="A32" s="2" t="s">
        <v>10</v>
      </c>
      <c r="B32" s="3"/>
      <c r="C32" s="3"/>
      <c r="D32" s="4" t="s">
        <v>18</v>
      </c>
      <c r="G32" s="2" t="s">
        <v>13</v>
      </c>
      <c r="H32" s="3"/>
      <c r="I32" s="3"/>
      <c r="J32" s="4" t="s">
        <v>19</v>
      </c>
      <c r="M32" s="2" t="s">
        <v>10</v>
      </c>
      <c r="N32" s="3"/>
      <c r="O32" s="3"/>
      <c r="P32" s="4" t="s">
        <v>15</v>
      </c>
      <c r="S32" s="2" t="s">
        <v>13</v>
      </c>
      <c r="T32" s="3"/>
      <c r="U32" s="3"/>
      <c r="V32" s="4" t="s">
        <v>28</v>
      </c>
      <c r="Y32" s="2" t="s">
        <v>12</v>
      </c>
      <c r="Z32" s="3"/>
      <c r="AA32" s="3"/>
      <c r="AB32" s="4" t="s">
        <v>29</v>
      </c>
    </row>
    <row r="33" spans="1:28" ht="18" customHeight="1" x14ac:dyDescent="0.2">
      <c r="A33" s="5" t="s">
        <v>12</v>
      </c>
      <c r="B33" s="3"/>
      <c r="C33" s="3"/>
      <c r="D33" s="6" t="s">
        <v>27</v>
      </c>
      <c r="G33" s="5" t="s">
        <v>21</v>
      </c>
      <c r="H33" s="3"/>
      <c r="I33" s="3"/>
      <c r="J33" s="6" t="s">
        <v>20</v>
      </c>
      <c r="M33" s="5" t="s">
        <v>12</v>
      </c>
      <c r="N33" s="3"/>
      <c r="O33" s="3"/>
      <c r="P33" s="6" t="s">
        <v>26</v>
      </c>
      <c r="S33" s="5" t="s">
        <v>17</v>
      </c>
      <c r="T33" s="3"/>
      <c r="U33" s="3"/>
      <c r="V33" s="6" t="s">
        <v>20</v>
      </c>
      <c r="Y33" s="5" t="s">
        <v>21</v>
      </c>
      <c r="Z33" s="3"/>
      <c r="AA33" s="3"/>
      <c r="AB33" s="6" t="s">
        <v>13</v>
      </c>
    </row>
    <row r="34" spans="1:28" ht="18" customHeight="1" x14ac:dyDescent="0.2">
      <c r="A34" s="2" t="s">
        <v>17</v>
      </c>
      <c r="B34" s="3"/>
      <c r="C34" s="3"/>
      <c r="D34" s="4" t="s">
        <v>25</v>
      </c>
      <c r="G34" s="2" t="s">
        <v>23</v>
      </c>
      <c r="H34" s="3"/>
      <c r="I34" s="3"/>
      <c r="J34" s="4" t="s">
        <v>28</v>
      </c>
      <c r="M34" s="2" t="s">
        <v>17</v>
      </c>
      <c r="N34" s="3"/>
      <c r="O34" s="3"/>
      <c r="P34" s="4" t="s">
        <v>13</v>
      </c>
      <c r="S34" s="2" t="s">
        <v>19</v>
      </c>
      <c r="T34" s="3"/>
      <c r="U34" s="3"/>
      <c r="V34" s="4" t="s">
        <v>18</v>
      </c>
      <c r="Y34" s="2" t="s">
        <v>19</v>
      </c>
      <c r="Z34" s="3"/>
      <c r="AA34" s="3"/>
      <c r="AB34" s="4" t="s">
        <v>15</v>
      </c>
    </row>
    <row r="35" spans="1:28" ht="18" customHeight="1" x14ac:dyDescent="0.2">
      <c r="A35" s="5" t="s">
        <v>19</v>
      </c>
      <c r="B35" s="3"/>
      <c r="C35" s="3"/>
      <c r="D35" s="6" t="s">
        <v>22</v>
      </c>
      <c r="G35" s="5" t="s">
        <v>15</v>
      </c>
      <c r="H35" s="3"/>
      <c r="I35" s="3"/>
      <c r="J35" s="6" t="s">
        <v>17</v>
      </c>
      <c r="M35" s="5" t="s">
        <v>20</v>
      </c>
      <c r="N35" s="3"/>
      <c r="O35" s="3"/>
      <c r="P35" s="6" t="s">
        <v>25</v>
      </c>
      <c r="S35" s="5" t="s">
        <v>15</v>
      </c>
      <c r="T35" s="3"/>
      <c r="U35" s="3"/>
      <c r="V35" s="6" t="s">
        <v>23</v>
      </c>
      <c r="Y35" s="5" t="s">
        <v>23</v>
      </c>
      <c r="Z35" s="3"/>
      <c r="AA35" s="3"/>
      <c r="AB35" s="6" t="s">
        <v>22</v>
      </c>
    </row>
    <row r="36" spans="1:28" ht="18" customHeight="1" x14ac:dyDescent="0.2">
      <c r="A36" s="2" t="s">
        <v>20</v>
      </c>
      <c r="B36" s="3"/>
      <c r="C36" s="3"/>
      <c r="D36" s="4" t="s">
        <v>24</v>
      </c>
      <c r="G36" s="2" t="s">
        <v>27</v>
      </c>
      <c r="H36" s="3"/>
      <c r="I36" s="3"/>
      <c r="J36" s="4" t="s">
        <v>10</v>
      </c>
      <c r="M36" s="2" t="s">
        <v>14</v>
      </c>
      <c r="N36" s="3"/>
      <c r="O36" s="3"/>
      <c r="P36" s="4" t="s">
        <v>16</v>
      </c>
      <c r="S36" s="2" t="s">
        <v>16</v>
      </c>
      <c r="T36" s="3"/>
      <c r="U36" s="3"/>
      <c r="V36" s="4" t="s">
        <v>10</v>
      </c>
      <c r="Y36" s="2" t="s">
        <v>20</v>
      </c>
      <c r="Z36" s="3"/>
      <c r="AA36" s="3"/>
      <c r="AB36" s="4" t="s">
        <v>26</v>
      </c>
    </row>
    <row r="37" spans="1:28" ht="18" customHeight="1" x14ac:dyDescent="0.2">
      <c r="A37" s="5" t="s">
        <v>14</v>
      </c>
      <c r="B37" s="3"/>
      <c r="C37" s="3"/>
      <c r="D37" s="6" t="s">
        <v>13</v>
      </c>
      <c r="G37" s="5" t="s">
        <v>24</v>
      </c>
      <c r="H37" s="3"/>
      <c r="I37" s="3"/>
      <c r="J37" s="6" t="s">
        <v>14</v>
      </c>
      <c r="M37" s="5" t="s">
        <v>28</v>
      </c>
      <c r="N37" s="3"/>
      <c r="O37" s="3"/>
      <c r="P37" s="6" t="s">
        <v>19</v>
      </c>
      <c r="S37" s="5" t="s">
        <v>29</v>
      </c>
      <c r="T37" s="3"/>
      <c r="U37" s="3"/>
      <c r="V37" s="6" t="s">
        <v>27</v>
      </c>
      <c r="Y37" s="5" t="s">
        <v>14</v>
      </c>
      <c r="Z37" s="3"/>
      <c r="AA37" s="3"/>
      <c r="AB37" s="6" t="s">
        <v>10</v>
      </c>
    </row>
    <row r="38" spans="1:28" ht="18" customHeight="1" x14ac:dyDescent="0.2">
      <c r="A38" s="2" t="s">
        <v>16</v>
      </c>
      <c r="B38" s="3"/>
      <c r="C38" s="3"/>
      <c r="D38" s="4" t="s">
        <v>23</v>
      </c>
      <c r="G38" s="2" t="s">
        <v>18</v>
      </c>
      <c r="H38" s="3"/>
      <c r="I38" s="3"/>
      <c r="J38" s="4" t="s">
        <v>12</v>
      </c>
      <c r="M38" s="2" t="s">
        <v>27</v>
      </c>
      <c r="N38" s="3"/>
      <c r="O38" s="3"/>
      <c r="P38" s="4" t="s">
        <v>21</v>
      </c>
      <c r="S38" s="2" t="s">
        <v>11</v>
      </c>
      <c r="T38" s="3"/>
      <c r="U38" s="3"/>
      <c r="V38" s="4" t="s">
        <v>24</v>
      </c>
      <c r="Y38" s="2" t="s">
        <v>28</v>
      </c>
      <c r="Z38" s="3"/>
      <c r="AA38" s="3"/>
      <c r="AB38" s="4" t="s">
        <v>18</v>
      </c>
    </row>
    <row r="39" spans="1:28" ht="18" customHeight="1" x14ac:dyDescent="0.2">
      <c r="A39" s="5" t="s">
        <v>28</v>
      </c>
      <c r="B39" s="3"/>
      <c r="C39" s="3"/>
      <c r="D39" s="6" t="s">
        <v>15</v>
      </c>
      <c r="G39" s="5" t="s">
        <v>29</v>
      </c>
      <c r="H39" s="3"/>
      <c r="I39" s="3"/>
      <c r="J39" s="6" t="s">
        <v>11</v>
      </c>
      <c r="M39" s="5" t="s">
        <v>24</v>
      </c>
      <c r="N39" s="3"/>
      <c r="O39" s="3"/>
      <c r="P39" s="6" t="s">
        <v>22</v>
      </c>
      <c r="S39" s="5" t="s">
        <v>22</v>
      </c>
      <c r="T39" s="3"/>
      <c r="U39" s="3"/>
      <c r="V39" s="6" t="s">
        <v>14</v>
      </c>
      <c r="Y39" s="5" t="s">
        <v>27</v>
      </c>
      <c r="Z39" s="3"/>
      <c r="AA39" s="3"/>
      <c r="AB39" s="6" t="s">
        <v>17</v>
      </c>
    </row>
    <row r="40" spans="1:28" ht="18" customHeight="1" x14ac:dyDescent="0.2">
      <c r="A40" s="2" t="s">
        <v>11</v>
      </c>
      <c r="B40" s="3"/>
      <c r="C40" s="3"/>
      <c r="D40" s="4" t="s">
        <v>21</v>
      </c>
      <c r="G40" s="2" t="s">
        <v>22</v>
      </c>
      <c r="H40" s="3"/>
      <c r="I40" s="3"/>
      <c r="J40" s="4" t="s">
        <v>16</v>
      </c>
      <c r="M40" s="2" t="s">
        <v>18</v>
      </c>
      <c r="N40" s="3"/>
      <c r="O40" s="3"/>
      <c r="P40" s="4" t="s">
        <v>29</v>
      </c>
      <c r="S40" s="2" t="s">
        <v>26</v>
      </c>
      <c r="T40" s="3"/>
      <c r="U40" s="3"/>
      <c r="V40" s="4" t="s">
        <v>21</v>
      </c>
      <c r="Y40" s="2" t="s">
        <v>24</v>
      </c>
      <c r="Z40" s="3"/>
      <c r="AA40" s="3"/>
      <c r="AB40" s="4" t="s">
        <v>16</v>
      </c>
    </row>
    <row r="41" spans="1:28" ht="18" customHeight="1" x14ac:dyDescent="0.2">
      <c r="A41" s="5" t="s">
        <v>26</v>
      </c>
      <c r="B41" s="3"/>
      <c r="C41" s="3"/>
      <c r="D41" s="6" t="s">
        <v>29</v>
      </c>
      <c r="G41" s="5" t="s">
        <v>25</v>
      </c>
      <c r="H41" s="3"/>
      <c r="I41" s="3"/>
      <c r="J41" s="6" t="s">
        <v>26</v>
      </c>
      <c r="M41" s="5" t="s">
        <v>11</v>
      </c>
      <c r="N41" s="3"/>
      <c r="O41" s="3"/>
      <c r="P41" s="6" t="s">
        <v>23</v>
      </c>
      <c r="S41" s="5" t="s">
        <v>25</v>
      </c>
      <c r="T41" s="3"/>
      <c r="U41" s="3"/>
      <c r="V41" s="6" t="s">
        <v>12</v>
      </c>
      <c r="Y41" s="5" t="s">
        <v>25</v>
      </c>
      <c r="Z41" s="3"/>
      <c r="AA41" s="3"/>
      <c r="AB41" s="6" t="s">
        <v>11</v>
      </c>
    </row>
    <row r="42" spans="1:28" ht="7.5" customHeight="1" x14ac:dyDescent="0.2"/>
    <row r="43" spans="1:28" ht="21.75" customHeight="1" x14ac:dyDescent="0.2">
      <c r="A43" s="20" t="s">
        <v>50</v>
      </c>
      <c r="B43" s="20"/>
      <c r="C43" s="20"/>
      <c r="D43" s="20"/>
      <c r="G43" s="20" t="s">
        <v>51</v>
      </c>
      <c r="H43" s="20"/>
      <c r="I43" s="20"/>
      <c r="J43" s="20"/>
      <c r="M43" s="20" t="s">
        <v>52</v>
      </c>
      <c r="N43" s="20"/>
      <c r="O43" s="20"/>
      <c r="P43" s="20"/>
      <c r="S43" s="20" t="s">
        <v>53</v>
      </c>
      <c r="T43" s="20"/>
      <c r="U43" s="20"/>
      <c r="V43" s="20"/>
      <c r="Y43" s="20" t="s">
        <v>54</v>
      </c>
      <c r="Z43" s="20"/>
      <c r="AA43" s="20"/>
      <c r="AB43" s="20"/>
    </row>
    <row r="44" spans="1:28" ht="15.75" customHeight="1" x14ac:dyDescent="0.2">
      <c r="A44" s="21" t="s">
        <v>55</v>
      </c>
      <c r="B44" s="21"/>
      <c r="C44" s="21"/>
      <c r="D44" s="21"/>
      <c r="G44" s="21" t="s">
        <v>56</v>
      </c>
      <c r="H44" s="21"/>
      <c r="I44" s="21"/>
      <c r="J44" s="21"/>
      <c r="M44" s="21" t="s">
        <v>57</v>
      </c>
      <c r="N44" s="21"/>
      <c r="O44" s="21"/>
      <c r="P44" s="21"/>
      <c r="S44" s="21" t="s">
        <v>58</v>
      </c>
      <c r="T44" s="21"/>
      <c r="U44" s="21"/>
      <c r="V44" s="21"/>
      <c r="Y44" s="21" t="s">
        <v>59</v>
      </c>
      <c r="Z44" s="21"/>
      <c r="AA44" s="21"/>
      <c r="AB44" s="21"/>
    </row>
    <row r="45" spans="1:28" ht="13.5" customHeight="1" x14ac:dyDescent="0.2">
      <c r="A45" s="1" t="s">
        <v>8</v>
      </c>
      <c r="B45" s="1"/>
      <c r="C45" s="1"/>
      <c r="D45" s="1" t="s">
        <v>9</v>
      </c>
      <c r="G45" s="1" t="s">
        <v>8</v>
      </c>
      <c r="H45" s="1"/>
      <c r="I45" s="1"/>
      <c r="J45" s="1" t="s">
        <v>9</v>
      </c>
      <c r="M45" s="1" t="s">
        <v>8</v>
      </c>
      <c r="N45" s="1"/>
      <c r="O45" s="1"/>
      <c r="P45" s="1" t="s">
        <v>9</v>
      </c>
      <c r="S45" s="1" t="s">
        <v>8</v>
      </c>
      <c r="T45" s="1"/>
      <c r="U45" s="1"/>
      <c r="V45" s="1" t="s">
        <v>9</v>
      </c>
      <c r="Y45" s="1" t="s">
        <v>8</v>
      </c>
      <c r="Z45" s="1"/>
      <c r="AA45" s="1"/>
      <c r="AB45" s="1" t="s">
        <v>9</v>
      </c>
    </row>
    <row r="46" spans="1:28" ht="18" customHeight="1" x14ac:dyDescent="0.2">
      <c r="A46" s="2" t="s">
        <v>10</v>
      </c>
      <c r="B46" s="3"/>
      <c r="C46" s="3"/>
      <c r="D46" s="4" t="s">
        <v>23</v>
      </c>
      <c r="G46" s="2" t="s">
        <v>10</v>
      </c>
      <c r="H46" s="3"/>
      <c r="I46" s="3"/>
      <c r="J46" s="4" t="s">
        <v>24</v>
      </c>
      <c r="M46" s="2" t="s">
        <v>12</v>
      </c>
      <c r="N46" s="3"/>
      <c r="O46" s="3"/>
      <c r="P46" s="4" t="s">
        <v>20</v>
      </c>
      <c r="S46" s="2" t="s">
        <v>10</v>
      </c>
      <c r="T46" s="3"/>
      <c r="U46" s="3"/>
      <c r="V46" s="4" t="s">
        <v>17</v>
      </c>
      <c r="Y46" s="2" t="s">
        <v>12</v>
      </c>
      <c r="Z46" s="3"/>
      <c r="AA46" s="3"/>
      <c r="AB46" s="4" t="s">
        <v>23</v>
      </c>
    </row>
    <row r="47" spans="1:28" ht="18" customHeight="1" x14ac:dyDescent="0.2">
      <c r="A47" s="5" t="s">
        <v>13</v>
      </c>
      <c r="B47" s="3"/>
      <c r="C47" s="3"/>
      <c r="D47" s="6" t="s">
        <v>25</v>
      </c>
      <c r="G47" s="5" t="s">
        <v>21</v>
      </c>
      <c r="H47" s="3"/>
      <c r="I47" s="3"/>
      <c r="J47" s="6" t="s">
        <v>12</v>
      </c>
      <c r="M47" s="5" t="s">
        <v>13</v>
      </c>
      <c r="N47" s="3"/>
      <c r="O47" s="3"/>
      <c r="P47" s="6" t="s">
        <v>23</v>
      </c>
      <c r="S47" s="5" t="s">
        <v>19</v>
      </c>
      <c r="T47" s="3"/>
      <c r="U47" s="3"/>
      <c r="V47" s="6" t="s">
        <v>12</v>
      </c>
      <c r="Y47" s="5" t="s">
        <v>13</v>
      </c>
      <c r="Z47" s="3"/>
      <c r="AA47" s="3"/>
      <c r="AB47" s="6" t="s">
        <v>11</v>
      </c>
    </row>
    <row r="48" spans="1:28" ht="18" customHeight="1" x14ac:dyDescent="0.2">
      <c r="A48" s="2" t="s">
        <v>17</v>
      </c>
      <c r="B48" s="3"/>
      <c r="C48" s="3"/>
      <c r="D48" s="4" t="s">
        <v>12</v>
      </c>
      <c r="G48" s="2" t="s">
        <v>19</v>
      </c>
      <c r="H48" s="3"/>
      <c r="I48" s="3"/>
      <c r="J48" s="4" t="s">
        <v>14</v>
      </c>
      <c r="M48" s="2" t="s">
        <v>17</v>
      </c>
      <c r="N48" s="3"/>
      <c r="O48" s="3"/>
      <c r="P48" s="4" t="s">
        <v>16</v>
      </c>
      <c r="S48" s="2" t="s">
        <v>23</v>
      </c>
      <c r="T48" s="3"/>
      <c r="U48" s="3"/>
      <c r="V48" s="4" t="s">
        <v>27</v>
      </c>
      <c r="Y48" s="2" t="s">
        <v>17</v>
      </c>
      <c r="Z48" s="3"/>
      <c r="AA48" s="3"/>
      <c r="AB48" s="4" t="s">
        <v>14</v>
      </c>
    </row>
    <row r="49" spans="1:28" ht="18" customHeight="1" x14ac:dyDescent="0.2">
      <c r="A49" s="5" t="s">
        <v>15</v>
      </c>
      <c r="B49" s="3"/>
      <c r="C49" s="3"/>
      <c r="D49" s="6" t="s">
        <v>22</v>
      </c>
      <c r="G49" s="5" t="s">
        <v>23</v>
      </c>
      <c r="H49" s="3"/>
      <c r="I49" s="3"/>
      <c r="J49" s="6" t="s">
        <v>26</v>
      </c>
      <c r="M49" s="5" t="s">
        <v>21</v>
      </c>
      <c r="N49" s="3"/>
      <c r="O49" s="3"/>
      <c r="P49" s="6" t="s">
        <v>14</v>
      </c>
      <c r="S49" s="5" t="s">
        <v>20</v>
      </c>
      <c r="T49" s="3"/>
      <c r="U49" s="3"/>
      <c r="V49" s="6" t="s">
        <v>22</v>
      </c>
      <c r="Y49" s="5" t="s">
        <v>21</v>
      </c>
      <c r="Z49" s="3"/>
      <c r="AA49" s="3"/>
      <c r="AB49" s="6" t="s">
        <v>16</v>
      </c>
    </row>
    <row r="50" spans="1:28" ht="18" customHeight="1" x14ac:dyDescent="0.2">
      <c r="A50" s="2" t="s">
        <v>20</v>
      </c>
      <c r="B50" s="3"/>
      <c r="C50" s="3"/>
      <c r="D50" s="4" t="s">
        <v>27</v>
      </c>
      <c r="G50" s="2" t="s">
        <v>16</v>
      </c>
      <c r="H50" s="3"/>
      <c r="I50" s="3"/>
      <c r="J50" s="4" t="s">
        <v>15</v>
      </c>
      <c r="M50" s="2" t="s">
        <v>15</v>
      </c>
      <c r="N50" s="3"/>
      <c r="O50" s="3"/>
      <c r="P50" s="4" t="s">
        <v>11</v>
      </c>
      <c r="S50" s="2" t="s">
        <v>14</v>
      </c>
      <c r="T50" s="3"/>
      <c r="U50" s="3"/>
      <c r="V50" s="4" t="s">
        <v>15</v>
      </c>
      <c r="Y50" s="2" t="s">
        <v>15</v>
      </c>
      <c r="Z50" s="3"/>
      <c r="AA50" s="3"/>
      <c r="AB50" s="4" t="s">
        <v>20</v>
      </c>
    </row>
    <row r="51" spans="1:28" ht="18" customHeight="1" x14ac:dyDescent="0.2">
      <c r="A51" s="5" t="s">
        <v>14</v>
      </c>
      <c r="B51" s="3"/>
      <c r="C51" s="3"/>
      <c r="D51" s="6" t="s">
        <v>29</v>
      </c>
      <c r="G51" s="5" t="s">
        <v>28</v>
      </c>
      <c r="H51" s="3"/>
      <c r="I51" s="3"/>
      <c r="J51" s="6" t="s">
        <v>17</v>
      </c>
      <c r="M51" s="5" t="s">
        <v>27</v>
      </c>
      <c r="N51" s="3"/>
      <c r="O51" s="3"/>
      <c r="P51" s="6" t="s">
        <v>28</v>
      </c>
      <c r="S51" s="5" t="s">
        <v>16</v>
      </c>
      <c r="T51" s="3"/>
      <c r="U51" s="3"/>
      <c r="V51" s="6" t="s">
        <v>18</v>
      </c>
      <c r="Y51" s="5" t="s">
        <v>27</v>
      </c>
      <c r="Z51" s="3"/>
      <c r="AA51" s="3"/>
      <c r="AB51" s="6" t="s">
        <v>19</v>
      </c>
    </row>
    <row r="52" spans="1:28" ht="18" customHeight="1" x14ac:dyDescent="0.2">
      <c r="A52" s="2" t="s">
        <v>16</v>
      </c>
      <c r="B52" s="3"/>
      <c r="C52" s="3"/>
      <c r="D52" s="4" t="s">
        <v>11</v>
      </c>
      <c r="G52" s="2" t="s">
        <v>29</v>
      </c>
      <c r="H52" s="3"/>
      <c r="I52" s="3"/>
      <c r="J52" s="4" t="s">
        <v>20</v>
      </c>
      <c r="M52" s="2" t="s">
        <v>18</v>
      </c>
      <c r="N52" s="3"/>
      <c r="O52" s="3"/>
      <c r="P52" s="4" t="s">
        <v>24</v>
      </c>
      <c r="S52" s="2" t="s">
        <v>28</v>
      </c>
      <c r="T52" s="3"/>
      <c r="U52" s="3"/>
      <c r="V52" s="4" t="s">
        <v>21</v>
      </c>
      <c r="Y52" s="2" t="s">
        <v>18</v>
      </c>
      <c r="Z52" s="3"/>
      <c r="AA52" s="3"/>
      <c r="AB52" s="4" t="s">
        <v>25</v>
      </c>
    </row>
    <row r="53" spans="1:28" ht="18" customHeight="1" x14ac:dyDescent="0.2">
      <c r="A53" s="5" t="s">
        <v>24</v>
      </c>
      <c r="B53" s="3"/>
      <c r="C53" s="3"/>
      <c r="D53" s="6" t="s">
        <v>28</v>
      </c>
      <c r="G53" s="5" t="s">
        <v>11</v>
      </c>
      <c r="H53" s="3"/>
      <c r="I53" s="3"/>
      <c r="J53" s="6" t="s">
        <v>18</v>
      </c>
      <c r="M53" s="5" t="s">
        <v>29</v>
      </c>
      <c r="N53" s="3"/>
      <c r="O53" s="3"/>
      <c r="P53" s="6" t="s">
        <v>19</v>
      </c>
      <c r="S53" s="5" t="s">
        <v>24</v>
      </c>
      <c r="T53" s="3"/>
      <c r="U53" s="3"/>
      <c r="V53" s="6" t="s">
        <v>13</v>
      </c>
      <c r="Y53" s="5" t="s">
        <v>29</v>
      </c>
      <c r="Z53" s="3"/>
      <c r="AA53" s="3"/>
      <c r="AB53" s="6" t="s">
        <v>28</v>
      </c>
    </row>
    <row r="54" spans="1:28" ht="18" customHeight="1" x14ac:dyDescent="0.2">
      <c r="A54" s="2" t="s">
        <v>18</v>
      </c>
      <c r="B54" s="3"/>
      <c r="C54" s="3"/>
      <c r="D54" s="4" t="s">
        <v>21</v>
      </c>
      <c r="G54" s="2" t="s">
        <v>22</v>
      </c>
      <c r="H54" s="3"/>
      <c r="I54" s="3"/>
      <c r="J54" s="4" t="s">
        <v>13</v>
      </c>
      <c r="M54" s="2" t="s">
        <v>22</v>
      </c>
      <c r="N54" s="3"/>
      <c r="O54" s="3"/>
      <c r="P54" s="4" t="s">
        <v>25</v>
      </c>
      <c r="S54" s="2" t="s">
        <v>11</v>
      </c>
      <c r="T54" s="3"/>
      <c r="U54" s="3"/>
      <c r="V54" s="4" t="s">
        <v>26</v>
      </c>
      <c r="Y54" s="2" t="s">
        <v>22</v>
      </c>
      <c r="Z54" s="3"/>
      <c r="AA54" s="3"/>
      <c r="AB54" s="4" t="s">
        <v>10</v>
      </c>
    </row>
    <row r="55" spans="1:28" ht="18" customHeight="1" x14ac:dyDescent="0.2">
      <c r="A55" s="5" t="s">
        <v>26</v>
      </c>
      <c r="B55" s="3"/>
      <c r="C55" s="3"/>
      <c r="D55" s="6" t="s">
        <v>19</v>
      </c>
      <c r="G55" s="5" t="s">
        <v>25</v>
      </c>
      <c r="H55" s="3"/>
      <c r="I55" s="3"/>
      <c r="J55" s="6" t="s">
        <v>27</v>
      </c>
      <c r="M55" s="5" t="s">
        <v>26</v>
      </c>
      <c r="N55" s="3"/>
      <c r="O55" s="3"/>
      <c r="P55" s="6" t="s">
        <v>10</v>
      </c>
      <c r="S55" s="5" t="s">
        <v>25</v>
      </c>
      <c r="T55" s="3"/>
      <c r="U55" s="3"/>
      <c r="V55" s="6" t="s">
        <v>29</v>
      </c>
      <c r="Y55" s="5" t="s">
        <v>26</v>
      </c>
      <c r="Z55" s="3"/>
      <c r="AA55" s="3"/>
      <c r="AB55" s="6" t="s">
        <v>24</v>
      </c>
    </row>
    <row r="56" spans="1:28" ht="7.5" customHeight="1" x14ac:dyDescent="0.2"/>
  </sheetData>
  <sheetProtection password="DF75" sheet="1" formatCells="0"/>
  <mergeCells count="38">
    <mergeCell ref="A44:D44"/>
    <mergeCell ref="G44:J44"/>
    <mergeCell ref="M44:P44"/>
    <mergeCell ref="S44:V44"/>
    <mergeCell ref="Y44:AB44"/>
    <mergeCell ref="A43:D43"/>
    <mergeCell ref="G43:J43"/>
    <mergeCell ref="M43:P43"/>
    <mergeCell ref="S43:V43"/>
    <mergeCell ref="Y43:AB43"/>
    <mergeCell ref="A30:D30"/>
    <mergeCell ref="G30:J30"/>
    <mergeCell ref="M30:P30"/>
    <mergeCell ref="S30:V30"/>
    <mergeCell ref="Y30:AB30"/>
    <mergeCell ref="A29:D29"/>
    <mergeCell ref="G29:J29"/>
    <mergeCell ref="M29:P29"/>
    <mergeCell ref="S29:V29"/>
    <mergeCell ref="Y29:AB29"/>
    <mergeCell ref="A16:D16"/>
    <mergeCell ref="G16:J16"/>
    <mergeCell ref="M16:P16"/>
    <mergeCell ref="S16:V16"/>
    <mergeCell ref="Y16:AB16"/>
    <mergeCell ref="A15:D15"/>
    <mergeCell ref="G15:J15"/>
    <mergeCell ref="M15:P15"/>
    <mergeCell ref="S15:V15"/>
    <mergeCell ref="Y15:AB15"/>
    <mergeCell ref="D1:G1"/>
    <mergeCell ref="J1:M1"/>
    <mergeCell ref="P1:S1"/>
    <mergeCell ref="V1:Y1"/>
    <mergeCell ref="D2:G2"/>
    <mergeCell ref="J2:M2"/>
    <mergeCell ref="P2:S2"/>
    <mergeCell ref="V2:Y2"/>
  </mergeCells>
  <dataValidations count="1">
    <dataValidation type="whole" allowBlank="1" showErrorMessage="1" errorTitle="Valore non valido" error="Inserire solo un numero intero (0-99)." prompt="Solo numeri" sqref="E4:F13 K4:L13 Q4:R13 W4:X13 B18:C27 H18:I27 N18:O27 T18:U27 Z18:AA27 B32:C41 H32:I41 N32:O41 T32:U41 Z32:AA41 B46:C55 H46:I55 N46:O55 T46:U55 Z46:AA55" xr:uid="{00000000-0002-0000-0000-000000000000}">
      <formula1>0</formula1>
      <formula2>99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6"/>
  <sheetViews>
    <sheetView showGridLines="0" zoomScaleNormal="100" workbookViewId="0"/>
  </sheetViews>
  <sheetFormatPr baseColWidth="10" defaultColWidth="8.6640625" defaultRowHeight="15" x14ac:dyDescent="0.2"/>
  <cols>
    <col min="1" max="1" width="11" customWidth="1"/>
    <col min="2" max="3" width="4.5" customWidth="1"/>
    <col min="4" max="4" width="11" customWidth="1"/>
    <col min="5" max="6" width="4.5" customWidth="1"/>
    <col min="7" max="7" width="11" customWidth="1"/>
    <col min="8" max="9" width="4.5" customWidth="1"/>
    <col min="10" max="10" width="11" customWidth="1"/>
    <col min="11" max="12" width="4.5" customWidth="1"/>
    <col min="13" max="13" width="11" customWidth="1"/>
    <col min="14" max="15" width="4.5" customWidth="1"/>
    <col min="16" max="16" width="11" customWidth="1"/>
    <col min="17" max="18" width="4.5" customWidth="1"/>
    <col min="19" max="19" width="11" customWidth="1"/>
    <col min="20" max="21" width="4.5" customWidth="1"/>
    <col min="22" max="22" width="11" customWidth="1"/>
    <col min="23" max="24" width="4.5" customWidth="1"/>
    <col min="25" max="25" width="11" customWidth="1"/>
    <col min="26" max="27" width="4.5" customWidth="1"/>
    <col min="28" max="28" width="11" customWidth="1"/>
  </cols>
  <sheetData>
    <row r="1" spans="1:28" ht="21.75" customHeight="1" x14ac:dyDescent="0.2">
      <c r="D1" s="20" t="s">
        <v>60</v>
      </c>
      <c r="E1" s="20"/>
      <c r="F1" s="20"/>
      <c r="G1" s="20"/>
      <c r="J1" s="20" t="s">
        <v>61</v>
      </c>
      <c r="K1" s="20"/>
      <c r="L1" s="20"/>
      <c r="M1" s="20"/>
      <c r="P1" s="20" t="s">
        <v>62</v>
      </c>
      <c r="Q1" s="20"/>
      <c r="R1" s="20"/>
      <c r="S1" s="20"/>
      <c r="V1" s="20" t="s">
        <v>63</v>
      </c>
      <c r="W1" s="20"/>
      <c r="X1" s="20"/>
      <c r="Y1" s="20"/>
    </row>
    <row r="2" spans="1:28" ht="15.75" customHeight="1" x14ac:dyDescent="0.2">
      <c r="D2" s="21" t="s">
        <v>64</v>
      </c>
      <c r="E2" s="21"/>
      <c r="F2" s="21"/>
      <c r="G2" s="21"/>
      <c r="J2" s="21" t="s">
        <v>65</v>
      </c>
      <c r="K2" s="21"/>
      <c r="L2" s="21"/>
      <c r="M2" s="21"/>
      <c r="P2" s="21" t="s">
        <v>66</v>
      </c>
      <c r="Q2" s="21"/>
      <c r="R2" s="21"/>
      <c r="S2" s="21"/>
      <c r="V2" s="21" t="s">
        <v>67</v>
      </c>
      <c r="W2" s="21"/>
      <c r="X2" s="21"/>
      <c r="Y2" s="21"/>
    </row>
    <row r="3" spans="1:28" ht="13.5" customHeight="1" x14ac:dyDescent="0.2">
      <c r="D3" s="1" t="s">
        <v>8</v>
      </c>
      <c r="E3" s="1"/>
      <c r="F3" s="1"/>
      <c r="G3" s="1" t="s">
        <v>9</v>
      </c>
      <c r="J3" s="1" t="s">
        <v>8</v>
      </c>
      <c r="K3" s="1"/>
      <c r="L3" s="1"/>
      <c r="M3" s="1" t="s">
        <v>9</v>
      </c>
      <c r="P3" s="1" t="s">
        <v>8</v>
      </c>
      <c r="Q3" s="1"/>
      <c r="R3" s="1"/>
      <c r="S3" s="1" t="s">
        <v>9</v>
      </c>
      <c r="V3" s="1" t="s">
        <v>8</v>
      </c>
      <c r="W3" s="1"/>
      <c r="X3" s="1"/>
      <c r="Y3" s="1" t="s">
        <v>9</v>
      </c>
    </row>
    <row r="4" spans="1:28" ht="18" customHeight="1" x14ac:dyDescent="0.2">
      <c r="D4" s="2" t="s">
        <v>10</v>
      </c>
      <c r="E4" s="3"/>
      <c r="F4" s="3"/>
      <c r="G4" s="4" t="s">
        <v>29</v>
      </c>
      <c r="J4" s="2" t="s">
        <v>12</v>
      </c>
      <c r="K4" s="3"/>
      <c r="L4" s="3"/>
      <c r="M4" s="4" t="s">
        <v>10</v>
      </c>
      <c r="P4" s="2" t="s">
        <v>10</v>
      </c>
      <c r="Q4" s="3"/>
      <c r="R4" s="3"/>
      <c r="S4" s="4" t="s">
        <v>21</v>
      </c>
      <c r="V4" s="2" t="s">
        <v>10</v>
      </c>
      <c r="W4" s="3"/>
      <c r="X4" s="3"/>
      <c r="Y4" s="4" t="s">
        <v>14</v>
      </c>
    </row>
    <row r="5" spans="1:28" ht="18" customHeight="1" x14ac:dyDescent="0.2">
      <c r="D5" s="5" t="s">
        <v>13</v>
      </c>
      <c r="E5" s="3"/>
      <c r="F5" s="3"/>
      <c r="G5" s="6" t="s">
        <v>17</v>
      </c>
      <c r="J5" s="5" t="s">
        <v>17</v>
      </c>
      <c r="K5" s="3"/>
      <c r="L5" s="3"/>
      <c r="M5" s="6" t="s">
        <v>24</v>
      </c>
      <c r="P5" s="5" t="s">
        <v>13</v>
      </c>
      <c r="Q5" s="3"/>
      <c r="R5" s="3"/>
      <c r="S5" s="6" t="s">
        <v>18</v>
      </c>
      <c r="V5" s="5" t="s">
        <v>12</v>
      </c>
      <c r="W5" s="3"/>
      <c r="X5" s="3"/>
      <c r="Y5" s="6" t="s">
        <v>28</v>
      </c>
    </row>
    <row r="6" spans="1:28" ht="18" customHeight="1" x14ac:dyDescent="0.2">
      <c r="D6" s="2" t="s">
        <v>20</v>
      </c>
      <c r="E6" s="3"/>
      <c r="F6" s="3"/>
      <c r="G6" s="4" t="s">
        <v>23</v>
      </c>
      <c r="J6" s="2" t="s">
        <v>21</v>
      </c>
      <c r="K6" s="3"/>
      <c r="L6" s="3"/>
      <c r="M6" s="4" t="s">
        <v>11</v>
      </c>
      <c r="P6" s="2" t="s">
        <v>23</v>
      </c>
      <c r="Q6" s="3"/>
      <c r="R6" s="3"/>
      <c r="S6" s="4" t="s">
        <v>16</v>
      </c>
      <c r="V6" s="2" t="s">
        <v>17</v>
      </c>
      <c r="W6" s="3"/>
      <c r="X6" s="3"/>
      <c r="Y6" s="4" t="s">
        <v>27</v>
      </c>
    </row>
    <row r="7" spans="1:28" ht="18" customHeight="1" x14ac:dyDescent="0.2">
      <c r="D7" s="5" t="s">
        <v>14</v>
      </c>
      <c r="E7" s="3"/>
      <c r="F7" s="3"/>
      <c r="G7" s="6" t="s">
        <v>12</v>
      </c>
      <c r="J7" s="5" t="s">
        <v>19</v>
      </c>
      <c r="K7" s="3"/>
      <c r="L7" s="3"/>
      <c r="M7" s="6" t="s">
        <v>28</v>
      </c>
      <c r="P7" s="5" t="s">
        <v>14</v>
      </c>
      <c r="Q7" s="3"/>
      <c r="R7" s="3"/>
      <c r="S7" s="6" t="s">
        <v>25</v>
      </c>
      <c r="V7" s="5" t="s">
        <v>21</v>
      </c>
      <c r="W7" s="3"/>
      <c r="X7" s="3"/>
      <c r="Y7" s="6" t="s">
        <v>26</v>
      </c>
    </row>
    <row r="8" spans="1:28" ht="18" customHeight="1" x14ac:dyDescent="0.2">
      <c r="D8" s="2" t="s">
        <v>16</v>
      </c>
      <c r="E8" s="3"/>
      <c r="F8" s="3"/>
      <c r="G8" s="4" t="s">
        <v>26</v>
      </c>
      <c r="J8" s="2" t="s">
        <v>23</v>
      </c>
      <c r="K8" s="3"/>
      <c r="L8" s="3"/>
      <c r="M8" s="4" t="s">
        <v>18</v>
      </c>
      <c r="P8" s="2" t="s">
        <v>28</v>
      </c>
      <c r="Q8" s="3"/>
      <c r="R8" s="3"/>
      <c r="S8" s="4" t="s">
        <v>20</v>
      </c>
      <c r="V8" s="2" t="s">
        <v>15</v>
      </c>
      <c r="W8" s="3"/>
      <c r="X8" s="3"/>
      <c r="Y8" s="4" t="s">
        <v>13</v>
      </c>
    </row>
    <row r="9" spans="1:28" ht="18" customHeight="1" x14ac:dyDescent="0.2">
      <c r="D9" s="5" t="s">
        <v>28</v>
      </c>
      <c r="E9" s="3"/>
      <c r="F9" s="3"/>
      <c r="G9" s="6" t="s">
        <v>22</v>
      </c>
      <c r="J9" s="5" t="s">
        <v>15</v>
      </c>
      <c r="K9" s="3"/>
      <c r="L9" s="3"/>
      <c r="M9" s="6" t="s">
        <v>25</v>
      </c>
      <c r="P9" s="5" t="s">
        <v>27</v>
      </c>
      <c r="Q9" s="3"/>
      <c r="R9" s="3"/>
      <c r="S9" s="6" t="s">
        <v>29</v>
      </c>
      <c r="V9" s="5" t="s">
        <v>20</v>
      </c>
      <c r="W9" s="3"/>
      <c r="X9" s="3"/>
      <c r="Y9" s="6" t="s">
        <v>11</v>
      </c>
    </row>
    <row r="10" spans="1:28" ht="18" customHeight="1" x14ac:dyDescent="0.2">
      <c r="D10" s="2" t="s">
        <v>24</v>
      </c>
      <c r="E10" s="3"/>
      <c r="F10" s="3"/>
      <c r="G10" s="4" t="s">
        <v>21</v>
      </c>
      <c r="J10" s="2" t="s">
        <v>20</v>
      </c>
      <c r="K10" s="3"/>
      <c r="L10" s="3"/>
      <c r="M10" s="4" t="s">
        <v>13</v>
      </c>
      <c r="P10" s="2" t="s">
        <v>24</v>
      </c>
      <c r="Q10" s="3"/>
      <c r="R10" s="3"/>
      <c r="S10" s="4" t="s">
        <v>15</v>
      </c>
      <c r="V10" s="2" t="s">
        <v>16</v>
      </c>
      <c r="W10" s="3"/>
      <c r="X10" s="3"/>
      <c r="Y10" s="4" t="s">
        <v>24</v>
      </c>
    </row>
    <row r="11" spans="1:28" ht="18" customHeight="1" x14ac:dyDescent="0.2">
      <c r="D11" s="5" t="s">
        <v>18</v>
      </c>
      <c r="E11" s="3"/>
      <c r="F11" s="3"/>
      <c r="G11" s="6" t="s">
        <v>15</v>
      </c>
      <c r="J11" s="5" t="s">
        <v>16</v>
      </c>
      <c r="K11" s="3"/>
      <c r="L11" s="3"/>
      <c r="M11" s="6" t="s">
        <v>22</v>
      </c>
      <c r="P11" s="5" t="s">
        <v>11</v>
      </c>
      <c r="Q11" s="3"/>
      <c r="R11" s="3"/>
      <c r="S11" s="6" t="s">
        <v>17</v>
      </c>
      <c r="V11" s="5" t="s">
        <v>18</v>
      </c>
      <c r="W11" s="3"/>
      <c r="X11" s="3"/>
      <c r="Y11" s="6" t="s">
        <v>19</v>
      </c>
    </row>
    <row r="12" spans="1:28" ht="18" customHeight="1" x14ac:dyDescent="0.2">
      <c r="D12" s="2" t="s">
        <v>11</v>
      </c>
      <c r="E12" s="3"/>
      <c r="F12" s="3"/>
      <c r="G12" s="4" t="s">
        <v>27</v>
      </c>
      <c r="J12" s="2" t="s">
        <v>27</v>
      </c>
      <c r="K12" s="3"/>
      <c r="L12" s="3"/>
      <c r="M12" s="4" t="s">
        <v>14</v>
      </c>
      <c r="P12" s="2" t="s">
        <v>22</v>
      </c>
      <c r="Q12" s="3"/>
      <c r="R12" s="3"/>
      <c r="S12" s="4" t="s">
        <v>19</v>
      </c>
      <c r="V12" s="2" t="s">
        <v>29</v>
      </c>
      <c r="W12" s="3"/>
      <c r="X12" s="3"/>
      <c r="Y12" s="4" t="s">
        <v>22</v>
      </c>
    </row>
    <row r="13" spans="1:28" ht="18" customHeight="1" x14ac:dyDescent="0.2">
      <c r="D13" s="5" t="s">
        <v>25</v>
      </c>
      <c r="E13" s="3"/>
      <c r="F13" s="3"/>
      <c r="G13" s="6" t="s">
        <v>19</v>
      </c>
      <c r="J13" s="5" t="s">
        <v>29</v>
      </c>
      <c r="K13" s="3"/>
      <c r="L13" s="3"/>
      <c r="M13" s="6" t="s">
        <v>26</v>
      </c>
      <c r="P13" s="5" t="s">
        <v>26</v>
      </c>
      <c r="Q13" s="3"/>
      <c r="R13" s="3"/>
      <c r="S13" s="6" t="s">
        <v>12</v>
      </c>
      <c r="V13" s="5" t="s">
        <v>25</v>
      </c>
      <c r="W13" s="3"/>
      <c r="X13" s="3"/>
      <c r="Y13" s="6" t="s">
        <v>23</v>
      </c>
    </row>
    <row r="14" spans="1:28" ht="7.5" customHeight="1" x14ac:dyDescent="0.2"/>
    <row r="15" spans="1:28" ht="21.75" customHeight="1" x14ac:dyDescent="0.2">
      <c r="A15" s="20" t="s">
        <v>68</v>
      </c>
      <c r="B15" s="20"/>
      <c r="C15" s="20"/>
      <c r="D15" s="20"/>
      <c r="G15" s="20" t="s">
        <v>69</v>
      </c>
      <c r="H15" s="20"/>
      <c r="I15" s="20"/>
      <c r="J15" s="20"/>
      <c r="M15" s="20" t="s">
        <v>70</v>
      </c>
      <c r="N15" s="20"/>
      <c r="O15" s="20"/>
      <c r="P15" s="20"/>
      <c r="S15" s="20" t="s">
        <v>71</v>
      </c>
      <c r="T15" s="20"/>
      <c r="U15" s="20"/>
      <c r="V15" s="20"/>
      <c r="Y15" s="20" t="s">
        <v>72</v>
      </c>
      <c r="Z15" s="20"/>
      <c r="AA15" s="20"/>
      <c r="AB15" s="20"/>
    </row>
    <row r="16" spans="1:28" ht="15.75" customHeight="1" x14ac:dyDescent="0.2">
      <c r="A16" s="21" t="s">
        <v>73</v>
      </c>
      <c r="B16" s="21"/>
      <c r="C16" s="21"/>
      <c r="D16" s="21"/>
      <c r="G16" s="21" t="s">
        <v>74</v>
      </c>
      <c r="H16" s="21"/>
      <c r="I16" s="21"/>
      <c r="J16" s="21"/>
      <c r="M16" s="21" t="s">
        <v>75</v>
      </c>
      <c r="N16" s="21"/>
      <c r="O16" s="21"/>
      <c r="P16" s="21"/>
      <c r="S16" s="21" t="s">
        <v>76</v>
      </c>
      <c r="T16" s="21"/>
      <c r="U16" s="21"/>
      <c r="V16" s="21"/>
      <c r="Y16" s="21" t="s">
        <v>77</v>
      </c>
      <c r="Z16" s="21"/>
      <c r="AA16" s="21"/>
      <c r="AB16" s="21"/>
    </row>
    <row r="17" spans="1:28" ht="13.5" customHeight="1" x14ac:dyDescent="0.2">
      <c r="A17" s="1" t="s">
        <v>8</v>
      </c>
      <c r="B17" s="1"/>
      <c r="C17" s="1"/>
      <c r="D17" s="1" t="s">
        <v>9</v>
      </c>
      <c r="G17" s="1" t="s">
        <v>8</v>
      </c>
      <c r="H17" s="1"/>
      <c r="I17" s="1"/>
      <c r="J17" s="1" t="s">
        <v>9</v>
      </c>
      <c r="M17" s="1" t="s">
        <v>8</v>
      </c>
      <c r="N17" s="1"/>
      <c r="O17" s="1"/>
      <c r="P17" s="1" t="s">
        <v>9</v>
      </c>
      <c r="S17" s="1" t="s">
        <v>8</v>
      </c>
      <c r="T17" s="1"/>
      <c r="U17" s="1"/>
      <c r="V17" s="1" t="s">
        <v>9</v>
      </c>
      <c r="Y17" s="1" t="s">
        <v>8</v>
      </c>
      <c r="Z17" s="1"/>
      <c r="AA17" s="1"/>
      <c r="AB17" s="1" t="s">
        <v>9</v>
      </c>
    </row>
    <row r="18" spans="1:28" ht="18" customHeight="1" x14ac:dyDescent="0.2">
      <c r="A18" s="2" t="s">
        <v>12</v>
      </c>
      <c r="B18" s="3"/>
      <c r="C18" s="3"/>
      <c r="D18" s="4" t="s">
        <v>17</v>
      </c>
      <c r="G18" s="2" t="s">
        <v>10</v>
      </c>
      <c r="H18" s="3"/>
      <c r="I18" s="3"/>
      <c r="J18" s="4" t="s">
        <v>27</v>
      </c>
      <c r="M18" s="2" t="s">
        <v>12</v>
      </c>
      <c r="N18" s="3"/>
      <c r="O18" s="3"/>
      <c r="P18" s="4" t="s">
        <v>16</v>
      </c>
      <c r="S18" s="2" t="s">
        <v>10</v>
      </c>
      <c r="T18" s="3"/>
      <c r="U18" s="3"/>
      <c r="V18" s="4" t="s">
        <v>22</v>
      </c>
      <c r="Y18" s="2" t="s">
        <v>12</v>
      </c>
      <c r="Z18" s="3"/>
      <c r="AA18" s="3"/>
      <c r="AB18" s="4" t="s">
        <v>24</v>
      </c>
    </row>
    <row r="19" spans="1:28" ht="18" customHeight="1" x14ac:dyDescent="0.2">
      <c r="A19" s="5" t="s">
        <v>13</v>
      </c>
      <c r="B19" s="3"/>
      <c r="C19" s="3"/>
      <c r="D19" s="6" t="s">
        <v>14</v>
      </c>
      <c r="G19" s="5" t="s">
        <v>17</v>
      </c>
      <c r="H19" s="3"/>
      <c r="I19" s="3"/>
      <c r="J19" s="6" t="s">
        <v>22</v>
      </c>
      <c r="M19" s="5" t="s">
        <v>13</v>
      </c>
      <c r="N19" s="3"/>
      <c r="O19" s="3"/>
      <c r="P19" s="6" t="s">
        <v>26</v>
      </c>
      <c r="S19" s="5" t="s">
        <v>21</v>
      </c>
      <c r="T19" s="3"/>
      <c r="U19" s="3"/>
      <c r="V19" s="6" t="s">
        <v>25</v>
      </c>
      <c r="Y19" s="5" t="s">
        <v>13</v>
      </c>
      <c r="Z19" s="3"/>
      <c r="AA19" s="3"/>
      <c r="AB19" s="6" t="s">
        <v>21</v>
      </c>
    </row>
    <row r="20" spans="1:28" ht="18" customHeight="1" x14ac:dyDescent="0.2">
      <c r="A20" s="2" t="s">
        <v>19</v>
      </c>
      <c r="B20" s="3"/>
      <c r="C20" s="3"/>
      <c r="D20" s="4" t="s">
        <v>21</v>
      </c>
      <c r="G20" s="2" t="s">
        <v>21</v>
      </c>
      <c r="H20" s="3"/>
      <c r="I20" s="3"/>
      <c r="J20" s="4" t="s">
        <v>15</v>
      </c>
      <c r="M20" s="2" t="s">
        <v>17</v>
      </c>
      <c r="N20" s="3"/>
      <c r="O20" s="3"/>
      <c r="P20" s="4" t="s">
        <v>28</v>
      </c>
      <c r="S20" s="2" t="s">
        <v>20</v>
      </c>
      <c r="T20" s="3"/>
      <c r="U20" s="3"/>
      <c r="V20" s="4" t="s">
        <v>29</v>
      </c>
      <c r="Y20" s="2" t="s">
        <v>17</v>
      </c>
      <c r="Z20" s="3"/>
      <c r="AA20" s="3"/>
      <c r="AB20" s="4" t="s">
        <v>26</v>
      </c>
    </row>
    <row r="21" spans="1:28" ht="18" customHeight="1" x14ac:dyDescent="0.2">
      <c r="A21" s="5" t="s">
        <v>23</v>
      </c>
      <c r="B21" s="3"/>
      <c r="C21" s="3"/>
      <c r="D21" s="6" t="s">
        <v>10</v>
      </c>
      <c r="G21" s="5" t="s">
        <v>20</v>
      </c>
      <c r="H21" s="3"/>
      <c r="I21" s="3"/>
      <c r="J21" s="6" t="s">
        <v>12</v>
      </c>
      <c r="M21" s="5" t="s">
        <v>19</v>
      </c>
      <c r="N21" s="3"/>
      <c r="O21" s="3"/>
      <c r="P21" s="6" t="s">
        <v>24</v>
      </c>
      <c r="S21" s="5" t="s">
        <v>14</v>
      </c>
      <c r="T21" s="3"/>
      <c r="U21" s="3"/>
      <c r="V21" s="6" t="s">
        <v>19</v>
      </c>
      <c r="Y21" s="5" t="s">
        <v>19</v>
      </c>
      <c r="Z21" s="3"/>
      <c r="AA21" s="3"/>
      <c r="AB21" s="6" t="s">
        <v>27</v>
      </c>
    </row>
    <row r="22" spans="1:28" ht="18" customHeight="1" x14ac:dyDescent="0.2">
      <c r="A22" s="2" t="s">
        <v>15</v>
      </c>
      <c r="B22" s="3"/>
      <c r="C22" s="3"/>
      <c r="D22" s="4" t="s">
        <v>28</v>
      </c>
      <c r="G22" s="2" t="s">
        <v>14</v>
      </c>
      <c r="H22" s="3"/>
      <c r="I22" s="3"/>
      <c r="J22" s="4" t="s">
        <v>24</v>
      </c>
      <c r="M22" s="2" t="s">
        <v>23</v>
      </c>
      <c r="N22" s="3"/>
      <c r="O22" s="3"/>
      <c r="P22" s="4" t="s">
        <v>14</v>
      </c>
      <c r="S22" s="2" t="s">
        <v>16</v>
      </c>
      <c r="T22" s="3"/>
      <c r="U22" s="3"/>
      <c r="V22" s="4" t="s">
        <v>17</v>
      </c>
      <c r="Y22" s="2" t="s">
        <v>23</v>
      </c>
      <c r="Z22" s="3"/>
      <c r="AA22" s="3"/>
      <c r="AB22" s="4" t="s">
        <v>29</v>
      </c>
    </row>
    <row r="23" spans="1:28" ht="18" customHeight="1" x14ac:dyDescent="0.2">
      <c r="A23" s="5" t="s">
        <v>27</v>
      </c>
      <c r="B23" s="3"/>
      <c r="C23" s="3"/>
      <c r="D23" s="6" t="s">
        <v>16</v>
      </c>
      <c r="G23" s="5" t="s">
        <v>16</v>
      </c>
      <c r="H23" s="3"/>
      <c r="I23" s="3"/>
      <c r="J23" s="6" t="s">
        <v>19</v>
      </c>
      <c r="M23" s="5" t="s">
        <v>15</v>
      </c>
      <c r="N23" s="3"/>
      <c r="O23" s="3"/>
      <c r="P23" s="6" t="s">
        <v>10</v>
      </c>
      <c r="S23" s="5" t="s">
        <v>28</v>
      </c>
      <c r="T23" s="3"/>
      <c r="U23" s="3"/>
      <c r="V23" s="6" t="s">
        <v>13</v>
      </c>
      <c r="Y23" s="5" t="s">
        <v>14</v>
      </c>
      <c r="Z23" s="3"/>
      <c r="AA23" s="3"/>
      <c r="AB23" s="6" t="s">
        <v>20</v>
      </c>
    </row>
    <row r="24" spans="1:28" ht="18" customHeight="1" x14ac:dyDescent="0.2">
      <c r="A24" s="2" t="s">
        <v>24</v>
      </c>
      <c r="B24" s="3"/>
      <c r="C24" s="3"/>
      <c r="D24" s="4" t="s">
        <v>20</v>
      </c>
      <c r="G24" s="2" t="s">
        <v>28</v>
      </c>
      <c r="H24" s="3"/>
      <c r="I24" s="3"/>
      <c r="J24" s="4" t="s">
        <v>23</v>
      </c>
      <c r="M24" s="2" t="s">
        <v>27</v>
      </c>
      <c r="N24" s="3"/>
      <c r="O24" s="3"/>
      <c r="P24" s="4" t="s">
        <v>20</v>
      </c>
      <c r="S24" s="2" t="s">
        <v>27</v>
      </c>
      <c r="T24" s="3"/>
      <c r="U24" s="3"/>
      <c r="V24" s="4" t="s">
        <v>23</v>
      </c>
      <c r="Y24" s="2" t="s">
        <v>28</v>
      </c>
      <c r="Z24" s="3"/>
      <c r="AA24" s="3"/>
      <c r="AB24" s="4" t="s">
        <v>11</v>
      </c>
    </row>
    <row r="25" spans="1:28" ht="18" customHeight="1" x14ac:dyDescent="0.2">
      <c r="A25" s="5" t="s">
        <v>29</v>
      </c>
      <c r="B25" s="3"/>
      <c r="C25" s="3"/>
      <c r="D25" s="6" t="s">
        <v>18</v>
      </c>
      <c r="G25" s="5" t="s">
        <v>11</v>
      </c>
      <c r="H25" s="3"/>
      <c r="I25" s="3"/>
      <c r="J25" s="6" t="s">
        <v>29</v>
      </c>
      <c r="M25" s="5" t="s">
        <v>18</v>
      </c>
      <c r="N25" s="3"/>
      <c r="O25" s="3"/>
      <c r="P25" s="6" t="s">
        <v>11</v>
      </c>
      <c r="S25" s="5" t="s">
        <v>24</v>
      </c>
      <c r="T25" s="3"/>
      <c r="U25" s="3"/>
      <c r="V25" s="6" t="s">
        <v>18</v>
      </c>
      <c r="Y25" s="5" t="s">
        <v>18</v>
      </c>
      <c r="Z25" s="3"/>
      <c r="AA25" s="3"/>
      <c r="AB25" s="6" t="s">
        <v>16</v>
      </c>
    </row>
    <row r="26" spans="1:28" ht="18" customHeight="1" x14ac:dyDescent="0.2">
      <c r="A26" s="2" t="s">
        <v>22</v>
      </c>
      <c r="B26" s="3"/>
      <c r="C26" s="3"/>
      <c r="D26" s="4" t="s">
        <v>11</v>
      </c>
      <c r="G26" s="2" t="s">
        <v>26</v>
      </c>
      <c r="H26" s="3"/>
      <c r="I26" s="3"/>
      <c r="J26" s="4" t="s">
        <v>18</v>
      </c>
      <c r="M26" s="2" t="s">
        <v>29</v>
      </c>
      <c r="N26" s="3"/>
      <c r="O26" s="3"/>
      <c r="P26" s="4" t="s">
        <v>25</v>
      </c>
      <c r="S26" s="2" t="s">
        <v>11</v>
      </c>
      <c r="T26" s="3"/>
      <c r="U26" s="3"/>
      <c r="V26" s="4" t="s">
        <v>12</v>
      </c>
      <c r="Y26" s="2" t="s">
        <v>22</v>
      </c>
      <c r="Z26" s="3"/>
      <c r="AA26" s="3"/>
      <c r="AB26" s="4" t="s">
        <v>15</v>
      </c>
    </row>
    <row r="27" spans="1:28" ht="18" customHeight="1" x14ac:dyDescent="0.2">
      <c r="A27" s="5" t="s">
        <v>26</v>
      </c>
      <c r="B27" s="3"/>
      <c r="C27" s="3"/>
      <c r="D27" s="6" t="s">
        <v>25</v>
      </c>
      <c r="G27" s="5" t="s">
        <v>25</v>
      </c>
      <c r="H27" s="3"/>
      <c r="I27" s="3"/>
      <c r="J27" s="6" t="s">
        <v>13</v>
      </c>
      <c r="M27" s="5" t="s">
        <v>22</v>
      </c>
      <c r="N27" s="3"/>
      <c r="O27" s="3"/>
      <c r="P27" s="6" t="s">
        <v>21</v>
      </c>
      <c r="S27" s="5" t="s">
        <v>26</v>
      </c>
      <c r="T27" s="3"/>
      <c r="U27" s="3"/>
      <c r="V27" s="6" t="s">
        <v>15</v>
      </c>
      <c r="Y27" s="5" t="s">
        <v>25</v>
      </c>
      <c r="Z27" s="3"/>
      <c r="AA27" s="3"/>
      <c r="AB27" s="6" t="s">
        <v>10</v>
      </c>
    </row>
    <row r="28" spans="1:28" ht="7.5" customHeight="1" x14ac:dyDescent="0.2"/>
    <row r="29" spans="1:28" ht="21.75" customHeight="1" x14ac:dyDescent="0.2">
      <c r="A29" s="20" t="s">
        <v>78</v>
      </c>
      <c r="B29" s="20"/>
      <c r="C29" s="20"/>
      <c r="D29" s="20"/>
      <c r="G29" s="20" t="s">
        <v>79</v>
      </c>
      <c r="H29" s="20"/>
      <c r="I29" s="20"/>
      <c r="J29" s="20"/>
      <c r="M29" s="20" t="s">
        <v>80</v>
      </c>
      <c r="N29" s="20"/>
      <c r="O29" s="20"/>
      <c r="P29" s="20"/>
      <c r="S29" s="20" t="s">
        <v>81</v>
      </c>
      <c r="T29" s="20"/>
      <c r="U29" s="20"/>
      <c r="V29" s="20"/>
      <c r="Y29" s="20" t="s">
        <v>82</v>
      </c>
      <c r="Z29" s="20"/>
      <c r="AA29" s="20"/>
      <c r="AB29" s="20"/>
    </row>
    <row r="30" spans="1:28" ht="15.75" customHeight="1" x14ac:dyDescent="0.2">
      <c r="A30" s="21" t="s">
        <v>83</v>
      </c>
      <c r="B30" s="21"/>
      <c r="C30" s="21"/>
      <c r="D30" s="21"/>
      <c r="G30" s="21" t="s">
        <v>84</v>
      </c>
      <c r="H30" s="21"/>
      <c r="I30" s="21"/>
      <c r="J30" s="21"/>
      <c r="M30" s="21" t="s">
        <v>85</v>
      </c>
      <c r="N30" s="21"/>
      <c r="O30" s="21"/>
      <c r="P30" s="21"/>
      <c r="S30" s="21" t="s">
        <v>86</v>
      </c>
      <c r="T30" s="21"/>
      <c r="U30" s="21"/>
      <c r="V30" s="21"/>
      <c r="Y30" s="21" t="s">
        <v>87</v>
      </c>
      <c r="Z30" s="21"/>
      <c r="AA30" s="21"/>
      <c r="AB30" s="21"/>
    </row>
    <row r="31" spans="1:28" ht="13.5" customHeight="1" x14ac:dyDescent="0.2">
      <c r="A31" s="1" t="s">
        <v>8</v>
      </c>
      <c r="B31" s="1"/>
      <c r="C31" s="1"/>
      <c r="D31" s="1" t="s">
        <v>9</v>
      </c>
      <c r="G31" s="1" t="s">
        <v>8</v>
      </c>
      <c r="H31" s="1"/>
      <c r="I31" s="1"/>
      <c r="J31" s="1" t="s">
        <v>9</v>
      </c>
      <c r="M31" s="1" t="s">
        <v>8</v>
      </c>
      <c r="N31" s="1"/>
      <c r="O31" s="1"/>
      <c r="P31" s="1" t="s">
        <v>9</v>
      </c>
      <c r="S31" s="1" t="s">
        <v>8</v>
      </c>
      <c r="T31" s="1"/>
      <c r="U31" s="1"/>
      <c r="V31" s="1" t="s">
        <v>9</v>
      </c>
      <c r="Y31" s="1" t="s">
        <v>8</v>
      </c>
      <c r="Z31" s="1"/>
      <c r="AA31" s="1"/>
      <c r="AB31" s="1" t="s">
        <v>9</v>
      </c>
    </row>
    <row r="32" spans="1:28" ht="18" customHeight="1" x14ac:dyDescent="0.2">
      <c r="A32" s="2" t="s">
        <v>10</v>
      </c>
      <c r="B32" s="3"/>
      <c r="C32" s="3"/>
      <c r="D32" s="4" t="s">
        <v>28</v>
      </c>
      <c r="G32" s="2" t="s">
        <v>13</v>
      </c>
      <c r="H32" s="3"/>
      <c r="I32" s="3"/>
      <c r="J32" s="4" t="s">
        <v>24</v>
      </c>
      <c r="M32" s="2" t="s">
        <v>12</v>
      </c>
      <c r="N32" s="3"/>
      <c r="O32" s="3"/>
      <c r="P32" s="4" t="s">
        <v>25</v>
      </c>
      <c r="S32" s="2" t="s">
        <v>10</v>
      </c>
      <c r="T32" s="3"/>
      <c r="U32" s="3"/>
      <c r="V32" s="4" t="s">
        <v>26</v>
      </c>
      <c r="Y32" s="2" t="s">
        <v>13</v>
      </c>
      <c r="Z32" s="3"/>
      <c r="AA32" s="3"/>
      <c r="AB32" s="4" t="s">
        <v>27</v>
      </c>
    </row>
    <row r="33" spans="1:28" ht="18" customHeight="1" x14ac:dyDescent="0.2">
      <c r="A33" s="5" t="s">
        <v>21</v>
      </c>
      <c r="B33" s="3"/>
      <c r="C33" s="3"/>
      <c r="D33" s="6" t="s">
        <v>23</v>
      </c>
      <c r="G33" s="5" t="s">
        <v>17</v>
      </c>
      <c r="H33" s="3"/>
      <c r="I33" s="3"/>
      <c r="J33" s="6" t="s">
        <v>21</v>
      </c>
      <c r="M33" s="5" t="s">
        <v>13</v>
      </c>
      <c r="N33" s="3"/>
      <c r="O33" s="3"/>
      <c r="P33" s="6" t="s">
        <v>10</v>
      </c>
      <c r="S33" s="5" t="s">
        <v>12</v>
      </c>
      <c r="T33" s="3"/>
      <c r="U33" s="3"/>
      <c r="V33" s="6" t="s">
        <v>13</v>
      </c>
      <c r="Y33" s="5" t="s">
        <v>19</v>
      </c>
      <c r="Z33" s="3"/>
      <c r="AA33" s="3"/>
      <c r="AB33" s="6" t="s">
        <v>29</v>
      </c>
    </row>
    <row r="34" spans="1:28" ht="18" customHeight="1" x14ac:dyDescent="0.2">
      <c r="A34" s="2" t="s">
        <v>15</v>
      </c>
      <c r="B34" s="3"/>
      <c r="C34" s="3"/>
      <c r="D34" s="4" t="s">
        <v>19</v>
      </c>
      <c r="G34" s="2" t="s">
        <v>19</v>
      </c>
      <c r="H34" s="3"/>
      <c r="I34" s="3"/>
      <c r="J34" s="4" t="s">
        <v>26</v>
      </c>
      <c r="M34" s="2" t="s">
        <v>21</v>
      </c>
      <c r="N34" s="3"/>
      <c r="O34" s="3"/>
      <c r="P34" s="4" t="s">
        <v>28</v>
      </c>
      <c r="S34" s="2" t="s">
        <v>17</v>
      </c>
      <c r="T34" s="3"/>
      <c r="U34" s="3"/>
      <c r="V34" s="4" t="s">
        <v>19</v>
      </c>
      <c r="Y34" s="2" t="s">
        <v>23</v>
      </c>
      <c r="Z34" s="3"/>
      <c r="AA34" s="3"/>
      <c r="AB34" s="4" t="s">
        <v>11</v>
      </c>
    </row>
    <row r="35" spans="1:28" ht="18" customHeight="1" x14ac:dyDescent="0.2">
      <c r="A35" s="5" t="s">
        <v>20</v>
      </c>
      <c r="B35" s="3"/>
      <c r="C35" s="3"/>
      <c r="D35" s="6" t="s">
        <v>17</v>
      </c>
      <c r="G35" s="5" t="s">
        <v>23</v>
      </c>
      <c r="H35" s="3"/>
      <c r="I35" s="3"/>
      <c r="J35" s="6" t="s">
        <v>15</v>
      </c>
      <c r="M35" s="5" t="s">
        <v>19</v>
      </c>
      <c r="N35" s="3"/>
      <c r="O35" s="3"/>
      <c r="P35" s="6" t="s">
        <v>23</v>
      </c>
      <c r="S35" s="5" t="s">
        <v>21</v>
      </c>
      <c r="T35" s="3"/>
      <c r="U35" s="3"/>
      <c r="V35" s="6" t="s">
        <v>18</v>
      </c>
      <c r="Y35" s="5" t="s">
        <v>15</v>
      </c>
      <c r="Z35" s="3"/>
      <c r="AA35" s="3"/>
      <c r="AB35" s="6" t="s">
        <v>12</v>
      </c>
    </row>
    <row r="36" spans="1:28" ht="18" customHeight="1" x14ac:dyDescent="0.2">
      <c r="A36" s="2" t="s">
        <v>27</v>
      </c>
      <c r="B36" s="3"/>
      <c r="C36" s="3"/>
      <c r="D36" s="4" t="s">
        <v>12</v>
      </c>
      <c r="G36" s="2" t="s">
        <v>16</v>
      </c>
      <c r="H36" s="3"/>
      <c r="I36" s="3"/>
      <c r="J36" s="4" t="s">
        <v>14</v>
      </c>
      <c r="M36" s="2" t="s">
        <v>15</v>
      </c>
      <c r="N36" s="3"/>
      <c r="O36" s="3"/>
      <c r="P36" s="4" t="s">
        <v>29</v>
      </c>
      <c r="S36" s="2" t="s">
        <v>28</v>
      </c>
      <c r="T36" s="3"/>
      <c r="U36" s="3"/>
      <c r="V36" s="4" t="s">
        <v>24</v>
      </c>
      <c r="Y36" s="2" t="s">
        <v>20</v>
      </c>
      <c r="Z36" s="3"/>
      <c r="AA36" s="3"/>
      <c r="AB36" s="4" t="s">
        <v>21</v>
      </c>
    </row>
    <row r="37" spans="1:28" ht="18" customHeight="1" x14ac:dyDescent="0.2">
      <c r="A37" s="5" t="s">
        <v>24</v>
      </c>
      <c r="B37" s="3"/>
      <c r="C37" s="3"/>
      <c r="D37" s="6" t="s">
        <v>25</v>
      </c>
      <c r="G37" s="5" t="s">
        <v>28</v>
      </c>
      <c r="H37" s="3"/>
      <c r="I37" s="3"/>
      <c r="J37" s="6" t="s">
        <v>27</v>
      </c>
      <c r="M37" s="5" t="s">
        <v>20</v>
      </c>
      <c r="N37" s="3"/>
      <c r="O37" s="3"/>
      <c r="P37" s="6" t="s">
        <v>16</v>
      </c>
      <c r="S37" s="5" t="s">
        <v>27</v>
      </c>
      <c r="T37" s="3"/>
      <c r="U37" s="3"/>
      <c r="V37" s="6" t="s">
        <v>15</v>
      </c>
      <c r="Y37" s="5" t="s">
        <v>14</v>
      </c>
      <c r="Z37" s="3"/>
      <c r="AA37" s="3"/>
      <c r="AB37" s="6" t="s">
        <v>17</v>
      </c>
    </row>
    <row r="38" spans="1:28" ht="18" customHeight="1" x14ac:dyDescent="0.2">
      <c r="A38" s="2" t="s">
        <v>18</v>
      </c>
      <c r="B38" s="3"/>
      <c r="C38" s="3"/>
      <c r="D38" s="4" t="s">
        <v>14</v>
      </c>
      <c r="G38" s="2" t="s">
        <v>29</v>
      </c>
      <c r="H38" s="3"/>
      <c r="I38" s="3"/>
      <c r="J38" s="4" t="s">
        <v>12</v>
      </c>
      <c r="M38" s="2" t="s">
        <v>14</v>
      </c>
      <c r="N38" s="3"/>
      <c r="O38" s="3"/>
      <c r="P38" s="4" t="s">
        <v>22</v>
      </c>
      <c r="S38" s="2" t="s">
        <v>29</v>
      </c>
      <c r="T38" s="3"/>
      <c r="U38" s="3"/>
      <c r="V38" s="4" t="s">
        <v>14</v>
      </c>
      <c r="Y38" s="2" t="s">
        <v>16</v>
      </c>
      <c r="Z38" s="3"/>
      <c r="AA38" s="3"/>
      <c r="AB38" s="4" t="s">
        <v>28</v>
      </c>
    </row>
    <row r="39" spans="1:28" ht="18" customHeight="1" x14ac:dyDescent="0.2">
      <c r="A39" s="5" t="s">
        <v>29</v>
      </c>
      <c r="B39" s="3"/>
      <c r="C39" s="3"/>
      <c r="D39" s="6" t="s">
        <v>16</v>
      </c>
      <c r="G39" s="5" t="s">
        <v>11</v>
      </c>
      <c r="H39" s="3"/>
      <c r="I39" s="3"/>
      <c r="J39" s="6" t="s">
        <v>10</v>
      </c>
      <c r="M39" s="5" t="s">
        <v>24</v>
      </c>
      <c r="N39" s="3"/>
      <c r="O39" s="3"/>
      <c r="P39" s="6" t="s">
        <v>11</v>
      </c>
      <c r="S39" s="5" t="s">
        <v>11</v>
      </c>
      <c r="T39" s="3"/>
      <c r="U39" s="3"/>
      <c r="V39" s="6" t="s">
        <v>16</v>
      </c>
      <c r="Y39" s="5" t="s">
        <v>24</v>
      </c>
      <c r="Z39" s="3"/>
      <c r="AA39" s="3"/>
      <c r="AB39" s="6" t="s">
        <v>26</v>
      </c>
    </row>
    <row r="40" spans="1:28" ht="18" customHeight="1" x14ac:dyDescent="0.2">
      <c r="A40" s="2" t="s">
        <v>11</v>
      </c>
      <c r="B40" s="3"/>
      <c r="C40" s="3"/>
      <c r="D40" s="4" t="s">
        <v>13</v>
      </c>
      <c r="G40" s="2" t="s">
        <v>22</v>
      </c>
      <c r="H40" s="3"/>
      <c r="I40" s="3"/>
      <c r="J40" s="4" t="s">
        <v>20</v>
      </c>
      <c r="M40" s="2" t="s">
        <v>18</v>
      </c>
      <c r="N40" s="3"/>
      <c r="O40" s="3"/>
      <c r="P40" s="4" t="s">
        <v>17</v>
      </c>
      <c r="S40" s="2" t="s">
        <v>22</v>
      </c>
      <c r="T40" s="3"/>
      <c r="U40" s="3"/>
      <c r="V40" s="4" t="s">
        <v>23</v>
      </c>
      <c r="Y40" s="2" t="s">
        <v>18</v>
      </c>
      <c r="Z40" s="3"/>
      <c r="AA40" s="3"/>
      <c r="AB40" s="4" t="s">
        <v>10</v>
      </c>
    </row>
    <row r="41" spans="1:28" ht="18" customHeight="1" x14ac:dyDescent="0.2">
      <c r="A41" s="5" t="s">
        <v>26</v>
      </c>
      <c r="B41" s="3"/>
      <c r="C41" s="3"/>
      <c r="D41" s="6" t="s">
        <v>22</v>
      </c>
      <c r="G41" s="5" t="s">
        <v>25</v>
      </c>
      <c r="H41" s="3"/>
      <c r="I41" s="3"/>
      <c r="J41" s="6" t="s">
        <v>18</v>
      </c>
      <c r="M41" s="5" t="s">
        <v>26</v>
      </c>
      <c r="N41" s="3"/>
      <c r="O41" s="3"/>
      <c r="P41" s="6" t="s">
        <v>27</v>
      </c>
      <c r="S41" s="5" t="s">
        <v>25</v>
      </c>
      <c r="T41" s="3"/>
      <c r="U41" s="3"/>
      <c r="V41" s="6" t="s">
        <v>20</v>
      </c>
      <c r="Y41" s="5" t="s">
        <v>25</v>
      </c>
      <c r="Z41" s="3"/>
      <c r="AA41" s="3"/>
      <c r="AB41" s="6" t="s">
        <v>22</v>
      </c>
    </row>
    <row r="42" spans="1:28" ht="7.5" customHeight="1" x14ac:dyDescent="0.2"/>
    <row r="43" spans="1:28" ht="21.75" customHeight="1" x14ac:dyDescent="0.2">
      <c r="A43" s="20" t="s">
        <v>88</v>
      </c>
      <c r="B43" s="20"/>
      <c r="C43" s="20"/>
      <c r="D43" s="20"/>
      <c r="G43" s="20" t="s">
        <v>89</v>
      </c>
      <c r="H43" s="20"/>
      <c r="I43" s="20"/>
      <c r="J43" s="20"/>
      <c r="M43" s="20" t="s">
        <v>90</v>
      </c>
      <c r="N43" s="20"/>
      <c r="O43" s="20"/>
      <c r="P43" s="20"/>
      <c r="S43" s="20" t="s">
        <v>91</v>
      </c>
      <c r="T43" s="20"/>
      <c r="U43" s="20"/>
      <c r="V43" s="20"/>
      <c r="Y43" s="20" t="s">
        <v>92</v>
      </c>
      <c r="Z43" s="20"/>
      <c r="AA43" s="20"/>
      <c r="AB43" s="20"/>
    </row>
    <row r="44" spans="1:28" ht="15.75" customHeight="1" x14ac:dyDescent="0.2">
      <c r="A44" s="21" t="s">
        <v>93</v>
      </c>
      <c r="B44" s="21"/>
      <c r="C44" s="21"/>
      <c r="D44" s="21"/>
      <c r="G44" s="21" t="s">
        <v>94</v>
      </c>
      <c r="H44" s="21"/>
      <c r="I44" s="21"/>
      <c r="J44" s="21"/>
      <c r="M44" s="21" t="s">
        <v>95</v>
      </c>
      <c r="N44" s="21"/>
      <c r="O44" s="21"/>
      <c r="P44" s="21"/>
      <c r="S44" s="21" t="s">
        <v>96</v>
      </c>
      <c r="T44" s="21"/>
      <c r="U44" s="21"/>
      <c r="V44" s="21"/>
      <c r="Y44" s="21" t="s">
        <v>97</v>
      </c>
      <c r="Z44" s="21"/>
      <c r="AA44" s="21"/>
      <c r="AB44" s="21"/>
    </row>
    <row r="45" spans="1:28" ht="13.5" customHeight="1" x14ac:dyDescent="0.2">
      <c r="A45" s="1" t="s">
        <v>8</v>
      </c>
      <c r="B45" s="1"/>
      <c r="C45" s="1"/>
      <c r="D45" s="1" t="s">
        <v>9</v>
      </c>
      <c r="G45" s="1" t="s">
        <v>8</v>
      </c>
      <c r="H45" s="1"/>
      <c r="I45" s="1"/>
      <c r="J45" s="1" t="s">
        <v>9</v>
      </c>
      <c r="M45" s="1" t="s">
        <v>8</v>
      </c>
      <c r="N45" s="1"/>
      <c r="O45" s="1"/>
      <c r="P45" s="1" t="s">
        <v>9</v>
      </c>
      <c r="S45" s="1" t="s">
        <v>8</v>
      </c>
      <c r="T45" s="1"/>
      <c r="U45" s="1"/>
      <c r="V45" s="1" t="s">
        <v>9</v>
      </c>
      <c r="Y45" s="1" t="s">
        <v>8</v>
      </c>
      <c r="Z45" s="1"/>
      <c r="AA45" s="1"/>
      <c r="AB45" s="1" t="s">
        <v>9</v>
      </c>
    </row>
    <row r="46" spans="1:28" ht="18" customHeight="1" x14ac:dyDescent="0.2">
      <c r="A46" s="2" t="s">
        <v>10</v>
      </c>
      <c r="B46" s="3"/>
      <c r="C46" s="3"/>
      <c r="D46" s="4" t="s">
        <v>20</v>
      </c>
      <c r="G46" s="2" t="s">
        <v>21</v>
      </c>
      <c r="H46" s="3"/>
      <c r="I46" s="3"/>
      <c r="J46" s="4" t="s">
        <v>29</v>
      </c>
      <c r="M46" s="2" t="s">
        <v>12</v>
      </c>
      <c r="N46" s="3"/>
      <c r="O46" s="3"/>
      <c r="P46" s="4" t="s">
        <v>19</v>
      </c>
      <c r="S46" s="2" t="s">
        <v>10</v>
      </c>
      <c r="T46" s="3"/>
      <c r="U46" s="3"/>
      <c r="V46" s="4" t="s">
        <v>16</v>
      </c>
      <c r="Y46" s="2" t="s">
        <v>12</v>
      </c>
      <c r="Z46" s="3"/>
      <c r="AA46" s="3"/>
      <c r="AB46" s="4" t="s">
        <v>18</v>
      </c>
    </row>
    <row r="47" spans="1:28" ht="18" customHeight="1" x14ac:dyDescent="0.2">
      <c r="A47" s="5" t="s">
        <v>12</v>
      </c>
      <c r="B47" s="3"/>
      <c r="C47" s="3"/>
      <c r="D47" s="6" t="s">
        <v>21</v>
      </c>
      <c r="G47" s="5" t="s">
        <v>19</v>
      </c>
      <c r="H47" s="3"/>
      <c r="I47" s="3"/>
      <c r="J47" s="6" t="s">
        <v>10</v>
      </c>
      <c r="M47" s="5" t="s">
        <v>13</v>
      </c>
      <c r="N47" s="3"/>
      <c r="O47" s="3"/>
      <c r="P47" s="6" t="s">
        <v>22</v>
      </c>
      <c r="S47" s="5" t="s">
        <v>21</v>
      </c>
      <c r="T47" s="3"/>
      <c r="U47" s="3"/>
      <c r="V47" s="6" t="s">
        <v>27</v>
      </c>
      <c r="Y47" s="5" t="s">
        <v>13</v>
      </c>
      <c r="Z47" s="3"/>
      <c r="AA47" s="3"/>
      <c r="AB47" s="6" t="s">
        <v>29</v>
      </c>
    </row>
    <row r="48" spans="1:28" ht="18" customHeight="1" x14ac:dyDescent="0.2">
      <c r="A48" s="2" t="s">
        <v>17</v>
      </c>
      <c r="B48" s="3"/>
      <c r="C48" s="3"/>
      <c r="D48" s="4" t="s">
        <v>15</v>
      </c>
      <c r="G48" s="2" t="s">
        <v>23</v>
      </c>
      <c r="H48" s="3"/>
      <c r="I48" s="3"/>
      <c r="J48" s="4" t="s">
        <v>13</v>
      </c>
      <c r="M48" s="2" t="s">
        <v>17</v>
      </c>
      <c r="N48" s="3"/>
      <c r="O48" s="3"/>
      <c r="P48" s="4" t="s">
        <v>10</v>
      </c>
      <c r="S48" s="2" t="s">
        <v>19</v>
      </c>
      <c r="T48" s="3"/>
      <c r="U48" s="3"/>
      <c r="V48" s="4" t="s">
        <v>13</v>
      </c>
      <c r="Y48" s="2" t="s">
        <v>17</v>
      </c>
      <c r="Z48" s="3"/>
      <c r="AA48" s="3"/>
      <c r="AB48" s="4" t="s">
        <v>23</v>
      </c>
    </row>
    <row r="49" spans="1:28" ht="18" customHeight="1" x14ac:dyDescent="0.2">
      <c r="A49" s="5" t="s">
        <v>16</v>
      </c>
      <c r="B49" s="3"/>
      <c r="C49" s="3"/>
      <c r="D49" s="6" t="s">
        <v>13</v>
      </c>
      <c r="G49" s="5" t="s">
        <v>15</v>
      </c>
      <c r="H49" s="3"/>
      <c r="I49" s="3"/>
      <c r="J49" s="6" t="s">
        <v>16</v>
      </c>
      <c r="M49" s="5" t="s">
        <v>20</v>
      </c>
      <c r="N49" s="3"/>
      <c r="O49" s="3"/>
      <c r="P49" s="6" t="s">
        <v>15</v>
      </c>
      <c r="S49" s="5" t="s">
        <v>23</v>
      </c>
      <c r="T49" s="3"/>
      <c r="U49" s="3"/>
      <c r="V49" s="6" t="s">
        <v>12</v>
      </c>
      <c r="Y49" s="5" t="s">
        <v>20</v>
      </c>
      <c r="Z49" s="3"/>
      <c r="AA49" s="3"/>
      <c r="AB49" s="6" t="s">
        <v>19</v>
      </c>
    </row>
    <row r="50" spans="1:28" ht="18" customHeight="1" x14ac:dyDescent="0.2">
      <c r="A50" s="2" t="s">
        <v>28</v>
      </c>
      <c r="B50" s="3"/>
      <c r="C50" s="3"/>
      <c r="D50" s="4" t="s">
        <v>14</v>
      </c>
      <c r="G50" s="2" t="s">
        <v>14</v>
      </c>
      <c r="H50" s="3"/>
      <c r="I50" s="3"/>
      <c r="J50" s="4" t="s">
        <v>11</v>
      </c>
      <c r="M50" s="2" t="s">
        <v>14</v>
      </c>
      <c r="N50" s="3"/>
      <c r="O50" s="3"/>
      <c r="P50" s="4" t="s">
        <v>26</v>
      </c>
      <c r="S50" s="2" t="s">
        <v>15</v>
      </c>
      <c r="T50" s="3"/>
      <c r="U50" s="3"/>
      <c r="V50" s="4" t="s">
        <v>14</v>
      </c>
      <c r="Y50" s="2" t="s">
        <v>14</v>
      </c>
      <c r="Z50" s="3"/>
      <c r="AA50" s="3"/>
      <c r="AB50" s="4" t="s">
        <v>21</v>
      </c>
    </row>
    <row r="51" spans="1:28" ht="18" customHeight="1" x14ac:dyDescent="0.2">
      <c r="A51" s="5" t="s">
        <v>27</v>
      </c>
      <c r="B51" s="3"/>
      <c r="C51" s="3"/>
      <c r="D51" s="6" t="s">
        <v>25</v>
      </c>
      <c r="G51" s="5" t="s">
        <v>24</v>
      </c>
      <c r="H51" s="3"/>
      <c r="I51" s="3"/>
      <c r="J51" s="6" t="s">
        <v>27</v>
      </c>
      <c r="M51" s="5" t="s">
        <v>16</v>
      </c>
      <c r="N51" s="3"/>
      <c r="O51" s="3"/>
      <c r="P51" s="6" t="s">
        <v>21</v>
      </c>
      <c r="S51" s="5" t="s">
        <v>18</v>
      </c>
      <c r="T51" s="3"/>
      <c r="U51" s="3"/>
      <c r="V51" s="6" t="s">
        <v>20</v>
      </c>
      <c r="Y51" s="5" t="s">
        <v>16</v>
      </c>
      <c r="Z51" s="3"/>
      <c r="AA51" s="3"/>
      <c r="AB51" s="6" t="s">
        <v>25</v>
      </c>
    </row>
    <row r="52" spans="1:28" ht="18" customHeight="1" x14ac:dyDescent="0.2">
      <c r="A52" s="2" t="s">
        <v>29</v>
      </c>
      <c r="B52" s="3"/>
      <c r="C52" s="3"/>
      <c r="D52" s="4" t="s">
        <v>24</v>
      </c>
      <c r="G52" s="2" t="s">
        <v>18</v>
      </c>
      <c r="H52" s="3"/>
      <c r="I52" s="3"/>
      <c r="J52" s="4" t="s">
        <v>28</v>
      </c>
      <c r="M52" s="2" t="s">
        <v>28</v>
      </c>
      <c r="N52" s="3"/>
      <c r="O52" s="3"/>
      <c r="P52" s="4" t="s">
        <v>29</v>
      </c>
      <c r="S52" s="2" t="s">
        <v>29</v>
      </c>
      <c r="T52" s="3"/>
      <c r="U52" s="3"/>
      <c r="V52" s="4" t="s">
        <v>17</v>
      </c>
      <c r="Y52" s="2" t="s">
        <v>28</v>
      </c>
      <c r="Z52" s="3"/>
      <c r="AA52" s="3"/>
      <c r="AB52" s="4" t="s">
        <v>26</v>
      </c>
    </row>
    <row r="53" spans="1:28" ht="18" customHeight="1" x14ac:dyDescent="0.2">
      <c r="A53" s="5" t="s">
        <v>11</v>
      </c>
      <c r="B53" s="3"/>
      <c r="C53" s="3"/>
      <c r="D53" s="6" t="s">
        <v>19</v>
      </c>
      <c r="G53" s="5" t="s">
        <v>22</v>
      </c>
      <c r="H53" s="3"/>
      <c r="I53" s="3"/>
      <c r="J53" s="6" t="s">
        <v>12</v>
      </c>
      <c r="M53" s="5" t="s">
        <v>27</v>
      </c>
      <c r="N53" s="3"/>
      <c r="O53" s="3"/>
      <c r="P53" s="6" t="s">
        <v>18</v>
      </c>
      <c r="S53" s="5" t="s">
        <v>22</v>
      </c>
      <c r="T53" s="3"/>
      <c r="U53" s="3"/>
      <c r="V53" s="6" t="s">
        <v>24</v>
      </c>
      <c r="Y53" s="5" t="s">
        <v>27</v>
      </c>
      <c r="Z53" s="3"/>
      <c r="AA53" s="3"/>
      <c r="AB53" s="6" t="s">
        <v>22</v>
      </c>
    </row>
    <row r="54" spans="1:28" ht="18" customHeight="1" x14ac:dyDescent="0.2">
      <c r="A54" s="2" t="s">
        <v>22</v>
      </c>
      <c r="B54" s="3"/>
      <c r="C54" s="3"/>
      <c r="D54" s="4" t="s">
        <v>18</v>
      </c>
      <c r="G54" s="2" t="s">
        <v>26</v>
      </c>
      <c r="H54" s="3"/>
      <c r="I54" s="3"/>
      <c r="J54" s="4" t="s">
        <v>20</v>
      </c>
      <c r="M54" s="2" t="s">
        <v>24</v>
      </c>
      <c r="N54" s="3"/>
      <c r="O54" s="3"/>
      <c r="P54" s="4" t="s">
        <v>23</v>
      </c>
      <c r="S54" s="2" t="s">
        <v>26</v>
      </c>
      <c r="T54" s="3"/>
      <c r="U54" s="3"/>
      <c r="V54" s="4" t="s">
        <v>11</v>
      </c>
      <c r="Y54" s="2" t="s">
        <v>24</v>
      </c>
      <c r="Z54" s="3"/>
      <c r="AA54" s="3"/>
      <c r="AB54" s="4" t="s">
        <v>10</v>
      </c>
    </row>
    <row r="55" spans="1:28" ht="18" customHeight="1" x14ac:dyDescent="0.2">
      <c r="A55" s="5" t="s">
        <v>26</v>
      </c>
      <c r="B55" s="3"/>
      <c r="C55" s="3"/>
      <c r="D55" s="6" t="s">
        <v>23</v>
      </c>
      <c r="G55" s="5" t="s">
        <v>25</v>
      </c>
      <c r="H55" s="3"/>
      <c r="I55" s="3"/>
      <c r="J55" s="6" t="s">
        <v>17</v>
      </c>
      <c r="M55" s="5" t="s">
        <v>11</v>
      </c>
      <c r="N55" s="3"/>
      <c r="O55" s="3"/>
      <c r="P55" s="6" t="s">
        <v>25</v>
      </c>
      <c r="S55" s="5" t="s">
        <v>25</v>
      </c>
      <c r="T55" s="3"/>
      <c r="U55" s="3"/>
      <c r="V55" s="6" t="s">
        <v>28</v>
      </c>
      <c r="Y55" s="5" t="s">
        <v>11</v>
      </c>
      <c r="Z55" s="3"/>
      <c r="AA55" s="3"/>
      <c r="AB55" s="6" t="s">
        <v>15</v>
      </c>
    </row>
    <row r="56" spans="1:28" ht="7.5" customHeight="1" x14ac:dyDescent="0.2"/>
  </sheetData>
  <sheetProtection password="DF75" sheet="1"/>
  <mergeCells count="38">
    <mergeCell ref="A44:D44"/>
    <mergeCell ref="G44:J44"/>
    <mergeCell ref="M44:P44"/>
    <mergeCell ref="S44:V44"/>
    <mergeCell ref="Y44:AB44"/>
    <mergeCell ref="A43:D43"/>
    <mergeCell ref="G43:J43"/>
    <mergeCell ref="M43:P43"/>
    <mergeCell ref="S43:V43"/>
    <mergeCell ref="Y43:AB43"/>
    <mergeCell ref="A30:D30"/>
    <mergeCell ref="G30:J30"/>
    <mergeCell ref="M30:P30"/>
    <mergeCell ref="S30:V30"/>
    <mergeCell ref="Y30:AB30"/>
    <mergeCell ref="A29:D29"/>
    <mergeCell ref="G29:J29"/>
    <mergeCell ref="M29:P29"/>
    <mergeCell ref="S29:V29"/>
    <mergeCell ref="Y29:AB29"/>
    <mergeCell ref="A16:D16"/>
    <mergeCell ref="G16:J16"/>
    <mergeCell ref="M16:P16"/>
    <mergeCell ref="S16:V16"/>
    <mergeCell ref="Y16:AB16"/>
    <mergeCell ref="A15:D15"/>
    <mergeCell ref="G15:J15"/>
    <mergeCell ref="M15:P15"/>
    <mergeCell ref="S15:V15"/>
    <mergeCell ref="Y15:AB15"/>
    <mergeCell ref="D1:G1"/>
    <mergeCell ref="J1:M1"/>
    <mergeCell ref="P1:S1"/>
    <mergeCell ref="V1:Y1"/>
    <mergeCell ref="D2:G2"/>
    <mergeCell ref="J2:M2"/>
    <mergeCell ref="P2:S2"/>
    <mergeCell ref="V2:Y2"/>
  </mergeCells>
  <dataValidations count="1">
    <dataValidation type="whole" allowBlank="1" showErrorMessage="1" errorTitle="Valore non valido" error="Inserire solo un numero intero (0-99)." sqref="E4:F13 K4:L13 Q4:R13 W4:X13 B18:C27 H18:I27 N18:O27 T18:U27 Z18:AA27 B32:C41 H32:I41 N32:O41 T32:U41 Z32:AA41 B46:C55 H46:I55 N46:O55 T46:U55 Z46:AA55" xr:uid="{00000000-0002-0000-0100-000000000000}">
      <formula1>0</formula1>
      <formula2>99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showGridLines="0" zoomScaleNormal="100" workbookViewId="0">
      <selection activeCell="X8" sqref="X8"/>
    </sheetView>
  </sheetViews>
  <sheetFormatPr baseColWidth="10" defaultColWidth="8.6640625" defaultRowHeight="15" x14ac:dyDescent="0.2"/>
  <cols>
    <col min="1" max="1" width="5" customWidth="1"/>
    <col min="2" max="2" width="16" customWidth="1"/>
    <col min="3" max="10" width="6" customWidth="1"/>
    <col min="13" max="14" width="13" hidden="1" customWidth="1"/>
  </cols>
  <sheetData>
    <row r="1" spans="1:14" ht="25.5" customHeight="1" x14ac:dyDescent="0.2">
      <c r="A1" s="22" t="s">
        <v>120</v>
      </c>
      <c r="B1" s="22"/>
      <c r="C1" s="22"/>
      <c r="D1" s="22"/>
      <c r="E1" s="22"/>
      <c r="F1" s="22"/>
      <c r="G1" s="22"/>
      <c r="H1" s="22"/>
      <c r="I1" s="22"/>
      <c r="J1" s="22"/>
    </row>
    <row r="2" spans="1:14" ht="15.75" customHeight="1" x14ac:dyDescent="0.2">
      <c r="A2" s="23" t="s">
        <v>121</v>
      </c>
      <c r="B2" s="23"/>
      <c r="C2" s="23"/>
      <c r="D2" s="23"/>
      <c r="E2" s="23"/>
      <c r="F2" s="23"/>
      <c r="G2" s="23"/>
      <c r="H2" s="23"/>
      <c r="I2" s="23"/>
      <c r="J2" s="23"/>
    </row>
    <row r="3" spans="1:14" ht="15" customHeight="1" x14ac:dyDescent="0.2">
      <c r="A3" s="7" t="s">
        <v>98</v>
      </c>
      <c r="B3" s="7" t="s">
        <v>99</v>
      </c>
      <c r="C3" s="7" t="s">
        <v>100</v>
      </c>
      <c r="D3" s="7" t="s">
        <v>101</v>
      </c>
      <c r="E3" s="7" t="s">
        <v>102</v>
      </c>
      <c r="F3" s="7" t="s">
        <v>103</v>
      </c>
      <c r="G3" s="7" t="s">
        <v>104</v>
      </c>
      <c r="H3" s="7" t="s">
        <v>105</v>
      </c>
      <c r="I3" s="7" t="s">
        <v>106</v>
      </c>
      <c r="J3" s="7" t="s">
        <v>107</v>
      </c>
    </row>
    <row r="4" spans="1:14" ht="15" customHeight="1" x14ac:dyDescent="0.2">
      <c r="A4" s="8">
        <v>1</v>
      </c>
      <c r="B4" s="9" t="str">
        <f>INDEX(Dati!$J$2:$J$21,$N4)</f>
        <v>Atalanta</v>
      </c>
      <c r="C4" s="8">
        <f>INDEX(Dati!$K$2:$K$21,$N4)</f>
        <v>0</v>
      </c>
      <c r="D4" s="8">
        <f>INDEX(Dati!$L$2:$L$21,$N4)</f>
        <v>0</v>
      </c>
      <c r="E4" s="8">
        <f>INDEX(Dati!$M$2:$M$21,$N4)</f>
        <v>0</v>
      </c>
      <c r="F4" s="8">
        <f>INDEX(Dati!$N$2:$N$21,$N4)</f>
        <v>0</v>
      </c>
      <c r="G4" s="8">
        <f>INDEX(Dati!$O$2:$O$21,$N4)</f>
        <v>0</v>
      </c>
      <c r="H4" s="8">
        <f>INDEX(Dati!$P$2:$P$21,$N4)</f>
        <v>0</v>
      </c>
      <c r="I4" s="8">
        <f>INDEX(Dati!$Q$2:$Q$21,$N4)</f>
        <v>0</v>
      </c>
      <c r="J4" s="10">
        <f>INDEX(Dati!$R$2:$R$21,$N4)</f>
        <v>0</v>
      </c>
      <c r="M4">
        <f>LARGE(Dati!$S$2:$S$21,A4)</f>
        <v>100000019</v>
      </c>
      <c r="N4">
        <f>MATCH(M4,Dati!$S$2:$S$21,0)</f>
        <v>1</v>
      </c>
    </row>
    <row r="5" spans="1:14" ht="15" customHeight="1" x14ac:dyDescent="0.2">
      <c r="A5" s="17">
        <v>2</v>
      </c>
      <c r="B5" s="18" t="str">
        <f>INDEX(Dati!$J$2:$J$21,$N5)</f>
        <v>Bologna</v>
      </c>
      <c r="C5" s="17">
        <f>INDEX(Dati!$K$2:$K$21,$N5)</f>
        <v>0</v>
      </c>
      <c r="D5" s="17">
        <f>INDEX(Dati!$L$2:$L$21,$N5)</f>
        <v>0</v>
      </c>
      <c r="E5" s="17">
        <f>INDEX(Dati!$M$2:$M$21,$N5)</f>
        <v>0</v>
      </c>
      <c r="F5" s="17">
        <f>INDEX(Dati!$N$2:$N$21,$N5)</f>
        <v>0</v>
      </c>
      <c r="G5" s="17">
        <f>INDEX(Dati!$O$2:$O$21,$N5)</f>
        <v>0</v>
      </c>
      <c r="H5" s="17">
        <f>INDEX(Dati!$P$2:$P$21,$N5)</f>
        <v>0</v>
      </c>
      <c r="I5" s="17">
        <f>INDEX(Dati!$Q$2:$Q$21,$N5)</f>
        <v>0</v>
      </c>
      <c r="J5" s="19">
        <f>INDEX(Dati!$R$2:$R$21,$N5)</f>
        <v>0</v>
      </c>
      <c r="M5">
        <f>LARGE(Dati!$S$2:$S$21,A5)</f>
        <v>100000018</v>
      </c>
      <c r="N5">
        <f>MATCH(M5,Dati!$S$2:$S$21,0)</f>
        <v>2</v>
      </c>
    </row>
    <row r="6" spans="1:14" ht="15" customHeight="1" x14ac:dyDescent="0.2">
      <c r="A6" s="8">
        <v>3</v>
      </c>
      <c r="B6" s="9" t="str">
        <f>INDEX(Dati!$J$2:$J$21,$N6)</f>
        <v>Cagliari</v>
      </c>
      <c r="C6" s="8">
        <f>INDEX(Dati!$K$2:$K$21,$N6)</f>
        <v>0</v>
      </c>
      <c r="D6" s="8">
        <f>INDEX(Dati!$L$2:$L$21,$N6)</f>
        <v>0</v>
      </c>
      <c r="E6" s="8">
        <f>INDEX(Dati!$M$2:$M$21,$N6)</f>
        <v>0</v>
      </c>
      <c r="F6" s="8">
        <f>INDEX(Dati!$N$2:$N$21,$N6)</f>
        <v>0</v>
      </c>
      <c r="G6" s="8">
        <f>INDEX(Dati!$O$2:$O$21,$N6)</f>
        <v>0</v>
      </c>
      <c r="H6" s="8">
        <f>INDEX(Dati!$P$2:$P$21,$N6)</f>
        <v>0</v>
      </c>
      <c r="I6" s="8">
        <f>INDEX(Dati!$Q$2:$Q$21,$N6)</f>
        <v>0</v>
      </c>
      <c r="J6" s="10">
        <f>INDEX(Dati!$R$2:$R$21,$N6)</f>
        <v>0</v>
      </c>
      <c r="M6">
        <f>LARGE(Dati!$S$2:$S$21,A6)</f>
        <v>100000017</v>
      </c>
      <c r="N6">
        <f>MATCH(M6,Dati!$S$2:$S$21,0)</f>
        <v>3</v>
      </c>
    </row>
    <row r="7" spans="1:14" ht="15" customHeight="1" x14ac:dyDescent="0.2">
      <c r="A7" s="17">
        <v>4</v>
      </c>
      <c r="B7" s="18" t="str">
        <f>INDEX(Dati!$J$2:$J$21,$N7)</f>
        <v>Como</v>
      </c>
      <c r="C7" s="17">
        <f>INDEX(Dati!$K$2:$K$21,$N7)</f>
        <v>0</v>
      </c>
      <c r="D7" s="17">
        <f>INDEX(Dati!$L$2:$L$21,$N7)</f>
        <v>0</v>
      </c>
      <c r="E7" s="17">
        <f>INDEX(Dati!$M$2:$M$21,$N7)</f>
        <v>0</v>
      </c>
      <c r="F7" s="17">
        <f>INDEX(Dati!$N$2:$N$21,$N7)</f>
        <v>0</v>
      </c>
      <c r="G7" s="17">
        <f>INDEX(Dati!$O$2:$O$21,$N7)</f>
        <v>0</v>
      </c>
      <c r="H7" s="17">
        <f>INDEX(Dati!$P$2:$P$21,$N7)</f>
        <v>0</v>
      </c>
      <c r="I7" s="17">
        <f>INDEX(Dati!$Q$2:$Q$21,$N7)</f>
        <v>0</v>
      </c>
      <c r="J7" s="19">
        <f>INDEX(Dati!$R$2:$R$21,$N7)</f>
        <v>0</v>
      </c>
      <c r="M7">
        <f>LARGE(Dati!$S$2:$S$21,A7)</f>
        <v>100000016</v>
      </c>
      <c r="N7">
        <f>MATCH(M7,Dati!$S$2:$S$21,0)</f>
        <v>4</v>
      </c>
    </row>
    <row r="8" spans="1:14" ht="15" customHeight="1" x14ac:dyDescent="0.2">
      <c r="A8" s="11">
        <v>5</v>
      </c>
      <c r="B8" s="12" t="str">
        <f>INDEX(Dati!$J$2:$J$21,$N8)</f>
        <v>Fiorentina</v>
      </c>
      <c r="C8" s="11">
        <f>INDEX(Dati!$K$2:$K$21,$N8)</f>
        <v>0</v>
      </c>
      <c r="D8" s="11">
        <f>INDEX(Dati!$L$2:$L$21,$N8)</f>
        <v>0</v>
      </c>
      <c r="E8" s="11">
        <f>INDEX(Dati!$M$2:$M$21,$N8)</f>
        <v>0</v>
      </c>
      <c r="F8" s="11">
        <f>INDEX(Dati!$N$2:$N$21,$N8)</f>
        <v>0</v>
      </c>
      <c r="G8" s="11">
        <f>INDEX(Dati!$O$2:$O$21,$N8)</f>
        <v>0</v>
      </c>
      <c r="H8" s="11">
        <f>INDEX(Dati!$P$2:$P$21,$N8)</f>
        <v>0</v>
      </c>
      <c r="I8" s="11">
        <f>INDEX(Dati!$Q$2:$Q$21,$N8)</f>
        <v>0</v>
      </c>
      <c r="J8" s="13">
        <f>INDEX(Dati!$R$2:$R$21,$N8)</f>
        <v>0</v>
      </c>
      <c r="M8">
        <f>LARGE(Dati!$S$2:$S$21,A8)</f>
        <v>100000015</v>
      </c>
      <c r="N8">
        <f>MATCH(M8,Dati!$S$2:$S$21,0)</f>
        <v>5</v>
      </c>
    </row>
    <row r="9" spans="1:14" ht="15" customHeight="1" x14ac:dyDescent="0.2">
      <c r="A9" s="14">
        <v>6</v>
      </c>
      <c r="B9" s="15" t="str">
        <f>INDEX(Dati!$J$2:$J$21,$N9)</f>
        <v>Frosinone</v>
      </c>
      <c r="C9" s="14">
        <f>INDEX(Dati!$K$2:$K$21,$N9)</f>
        <v>0</v>
      </c>
      <c r="D9" s="14">
        <f>INDEX(Dati!$L$2:$L$21,$N9)</f>
        <v>0</v>
      </c>
      <c r="E9" s="14">
        <f>INDEX(Dati!$M$2:$M$21,$N9)</f>
        <v>0</v>
      </c>
      <c r="F9" s="14">
        <f>INDEX(Dati!$N$2:$N$21,$N9)</f>
        <v>0</v>
      </c>
      <c r="G9" s="14">
        <f>INDEX(Dati!$O$2:$O$21,$N9)</f>
        <v>0</v>
      </c>
      <c r="H9" s="14">
        <f>INDEX(Dati!$P$2:$P$21,$N9)</f>
        <v>0</v>
      </c>
      <c r="I9" s="14">
        <f>INDEX(Dati!$Q$2:$Q$21,$N9)</f>
        <v>0</v>
      </c>
      <c r="J9" s="16">
        <f>INDEX(Dati!$R$2:$R$21,$N9)</f>
        <v>0</v>
      </c>
      <c r="M9">
        <f>LARGE(Dati!$S$2:$S$21,A9)</f>
        <v>100000014</v>
      </c>
      <c r="N9">
        <f>MATCH(M9,Dati!$S$2:$S$21,0)</f>
        <v>6</v>
      </c>
    </row>
    <row r="10" spans="1:14" ht="15" customHeight="1" x14ac:dyDescent="0.2">
      <c r="A10" s="11">
        <v>7</v>
      </c>
      <c r="B10" s="12" t="str">
        <f>INDEX(Dati!$J$2:$J$21,$N10)</f>
        <v>Genoa</v>
      </c>
      <c r="C10" s="11">
        <f>INDEX(Dati!$K$2:$K$21,$N10)</f>
        <v>0</v>
      </c>
      <c r="D10" s="11">
        <f>INDEX(Dati!$L$2:$L$21,$N10)</f>
        <v>0</v>
      </c>
      <c r="E10" s="11">
        <f>INDEX(Dati!$M$2:$M$21,$N10)</f>
        <v>0</v>
      </c>
      <c r="F10" s="11">
        <f>INDEX(Dati!$N$2:$N$21,$N10)</f>
        <v>0</v>
      </c>
      <c r="G10" s="11">
        <f>INDEX(Dati!$O$2:$O$21,$N10)</f>
        <v>0</v>
      </c>
      <c r="H10" s="11">
        <f>INDEX(Dati!$P$2:$P$21,$N10)</f>
        <v>0</v>
      </c>
      <c r="I10" s="11">
        <f>INDEX(Dati!$Q$2:$Q$21,$N10)</f>
        <v>0</v>
      </c>
      <c r="J10" s="13">
        <f>INDEX(Dati!$R$2:$R$21,$N10)</f>
        <v>0</v>
      </c>
      <c r="M10">
        <f>LARGE(Dati!$S$2:$S$21,A10)</f>
        <v>100000013</v>
      </c>
      <c r="N10">
        <f>MATCH(M10,Dati!$S$2:$S$21,0)</f>
        <v>7</v>
      </c>
    </row>
    <row r="11" spans="1:14" ht="15" customHeight="1" x14ac:dyDescent="0.2">
      <c r="A11" s="14">
        <v>8</v>
      </c>
      <c r="B11" s="15" t="str">
        <f>INDEX(Dati!$J$2:$J$21,$N11)</f>
        <v>Inter</v>
      </c>
      <c r="C11" s="14">
        <f>INDEX(Dati!$K$2:$K$21,$N11)</f>
        <v>0</v>
      </c>
      <c r="D11" s="14">
        <f>INDEX(Dati!$L$2:$L$21,$N11)</f>
        <v>0</v>
      </c>
      <c r="E11" s="14">
        <f>INDEX(Dati!$M$2:$M$21,$N11)</f>
        <v>0</v>
      </c>
      <c r="F11" s="14">
        <f>INDEX(Dati!$N$2:$N$21,$N11)</f>
        <v>0</v>
      </c>
      <c r="G11" s="14">
        <f>INDEX(Dati!$O$2:$O$21,$N11)</f>
        <v>0</v>
      </c>
      <c r="H11" s="14">
        <f>INDEX(Dati!$P$2:$P$21,$N11)</f>
        <v>0</v>
      </c>
      <c r="I11" s="14">
        <f>INDEX(Dati!$Q$2:$Q$21,$N11)</f>
        <v>0</v>
      </c>
      <c r="J11" s="16">
        <f>INDEX(Dati!$R$2:$R$21,$N11)</f>
        <v>0</v>
      </c>
      <c r="M11">
        <f>LARGE(Dati!$S$2:$S$21,A11)</f>
        <v>100000012</v>
      </c>
      <c r="N11">
        <f>MATCH(M11,Dati!$S$2:$S$21,0)</f>
        <v>8</v>
      </c>
    </row>
    <row r="12" spans="1:14" ht="15" customHeight="1" x14ac:dyDescent="0.2">
      <c r="A12" s="11">
        <v>9</v>
      </c>
      <c r="B12" s="12" t="str">
        <f>INDEX(Dati!$J$2:$J$21,$N12)</f>
        <v>Juventus</v>
      </c>
      <c r="C12" s="11">
        <f>INDEX(Dati!$K$2:$K$21,$N12)</f>
        <v>0</v>
      </c>
      <c r="D12" s="11">
        <f>INDEX(Dati!$L$2:$L$21,$N12)</f>
        <v>0</v>
      </c>
      <c r="E12" s="11">
        <f>INDEX(Dati!$M$2:$M$21,$N12)</f>
        <v>0</v>
      </c>
      <c r="F12" s="11">
        <f>INDEX(Dati!$N$2:$N$21,$N12)</f>
        <v>0</v>
      </c>
      <c r="G12" s="11">
        <f>INDEX(Dati!$O$2:$O$21,$N12)</f>
        <v>0</v>
      </c>
      <c r="H12" s="11">
        <f>INDEX(Dati!$P$2:$P$21,$N12)</f>
        <v>0</v>
      </c>
      <c r="I12" s="11">
        <f>INDEX(Dati!$Q$2:$Q$21,$N12)</f>
        <v>0</v>
      </c>
      <c r="J12" s="13">
        <f>INDEX(Dati!$R$2:$R$21,$N12)</f>
        <v>0</v>
      </c>
      <c r="M12">
        <f>LARGE(Dati!$S$2:$S$21,A12)</f>
        <v>100000011</v>
      </c>
      <c r="N12">
        <f>MATCH(M12,Dati!$S$2:$S$21,0)</f>
        <v>9</v>
      </c>
    </row>
    <row r="13" spans="1:14" ht="15" customHeight="1" x14ac:dyDescent="0.2">
      <c r="A13" s="14">
        <v>10</v>
      </c>
      <c r="B13" s="15" t="str">
        <f>INDEX(Dati!$J$2:$J$21,$N13)</f>
        <v>Lazio</v>
      </c>
      <c r="C13" s="14">
        <f>INDEX(Dati!$K$2:$K$21,$N13)</f>
        <v>0</v>
      </c>
      <c r="D13" s="14">
        <f>INDEX(Dati!$L$2:$L$21,$N13)</f>
        <v>0</v>
      </c>
      <c r="E13" s="14">
        <f>INDEX(Dati!$M$2:$M$21,$N13)</f>
        <v>0</v>
      </c>
      <c r="F13" s="14">
        <f>INDEX(Dati!$N$2:$N$21,$N13)</f>
        <v>0</v>
      </c>
      <c r="G13" s="14">
        <f>INDEX(Dati!$O$2:$O$21,$N13)</f>
        <v>0</v>
      </c>
      <c r="H13" s="14">
        <f>INDEX(Dati!$P$2:$P$21,$N13)</f>
        <v>0</v>
      </c>
      <c r="I13" s="14">
        <f>INDEX(Dati!$Q$2:$Q$21,$N13)</f>
        <v>0</v>
      </c>
      <c r="J13" s="16">
        <f>INDEX(Dati!$R$2:$R$21,$N13)</f>
        <v>0</v>
      </c>
      <c r="M13">
        <f>LARGE(Dati!$S$2:$S$21,A13)</f>
        <v>100000010</v>
      </c>
      <c r="N13">
        <f>MATCH(M13,Dati!$S$2:$S$21,0)</f>
        <v>10</v>
      </c>
    </row>
    <row r="14" spans="1:14" ht="15" customHeight="1" x14ac:dyDescent="0.2">
      <c r="A14" s="11">
        <v>11</v>
      </c>
      <c r="B14" s="12" t="str">
        <f>INDEX(Dati!$J$2:$J$21,$N14)</f>
        <v>Lecce</v>
      </c>
      <c r="C14" s="11">
        <f>INDEX(Dati!$K$2:$K$21,$N14)</f>
        <v>0</v>
      </c>
      <c r="D14" s="11">
        <f>INDEX(Dati!$L$2:$L$21,$N14)</f>
        <v>0</v>
      </c>
      <c r="E14" s="11">
        <f>INDEX(Dati!$M$2:$M$21,$N14)</f>
        <v>0</v>
      </c>
      <c r="F14" s="11">
        <f>INDEX(Dati!$N$2:$N$21,$N14)</f>
        <v>0</v>
      </c>
      <c r="G14" s="11">
        <f>INDEX(Dati!$O$2:$O$21,$N14)</f>
        <v>0</v>
      </c>
      <c r="H14" s="11">
        <f>INDEX(Dati!$P$2:$P$21,$N14)</f>
        <v>0</v>
      </c>
      <c r="I14" s="11">
        <f>INDEX(Dati!$Q$2:$Q$21,$N14)</f>
        <v>0</v>
      </c>
      <c r="J14" s="13">
        <f>INDEX(Dati!$R$2:$R$21,$N14)</f>
        <v>0</v>
      </c>
      <c r="M14">
        <f>LARGE(Dati!$S$2:$S$21,A14)</f>
        <v>100000009</v>
      </c>
      <c r="N14">
        <f>MATCH(M14,Dati!$S$2:$S$21,0)</f>
        <v>11</v>
      </c>
    </row>
    <row r="15" spans="1:14" ht="15" customHeight="1" x14ac:dyDescent="0.2">
      <c r="A15" s="14">
        <v>12</v>
      </c>
      <c r="B15" s="15" t="str">
        <f>INDEX(Dati!$J$2:$J$21,$N15)</f>
        <v>Milan</v>
      </c>
      <c r="C15" s="14">
        <f>INDEX(Dati!$K$2:$K$21,$N15)</f>
        <v>0</v>
      </c>
      <c r="D15" s="14">
        <f>INDEX(Dati!$L$2:$L$21,$N15)</f>
        <v>0</v>
      </c>
      <c r="E15" s="14">
        <f>INDEX(Dati!$M$2:$M$21,$N15)</f>
        <v>0</v>
      </c>
      <c r="F15" s="14">
        <f>INDEX(Dati!$N$2:$N$21,$N15)</f>
        <v>0</v>
      </c>
      <c r="G15" s="14">
        <f>INDEX(Dati!$O$2:$O$21,$N15)</f>
        <v>0</v>
      </c>
      <c r="H15" s="14">
        <f>INDEX(Dati!$P$2:$P$21,$N15)</f>
        <v>0</v>
      </c>
      <c r="I15" s="14">
        <f>INDEX(Dati!$Q$2:$Q$21,$N15)</f>
        <v>0</v>
      </c>
      <c r="J15" s="16">
        <f>INDEX(Dati!$R$2:$R$21,$N15)</f>
        <v>0</v>
      </c>
      <c r="M15">
        <f>LARGE(Dati!$S$2:$S$21,A15)</f>
        <v>100000008</v>
      </c>
      <c r="N15">
        <f>MATCH(M15,Dati!$S$2:$S$21,0)</f>
        <v>12</v>
      </c>
    </row>
    <row r="16" spans="1:14" ht="15" customHeight="1" x14ac:dyDescent="0.2">
      <c r="A16" s="11">
        <v>13</v>
      </c>
      <c r="B16" s="12" t="str">
        <f>INDEX(Dati!$J$2:$J$21,$N16)</f>
        <v>Monza</v>
      </c>
      <c r="C16" s="11">
        <f>INDEX(Dati!$K$2:$K$21,$N16)</f>
        <v>0</v>
      </c>
      <c r="D16" s="11">
        <f>INDEX(Dati!$L$2:$L$21,$N16)</f>
        <v>0</v>
      </c>
      <c r="E16" s="11">
        <f>INDEX(Dati!$M$2:$M$21,$N16)</f>
        <v>0</v>
      </c>
      <c r="F16" s="11">
        <f>INDEX(Dati!$N$2:$N$21,$N16)</f>
        <v>0</v>
      </c>
      <c r="G16" s="11">
        <f>INDEX(Dati!$O$2:$O$21,$N16)</f>
        <v>0</v>
      </c>
      <c r="H16" s="11">
        <f>INDEX(Dati!$P$2:$P$21,$N16)</f>
        <v>0</v>
      </c>
      <c r="I16" s="11">
        <f>INDEX(Dati!$Q$2:$Q$21,$N16)</f>
        <v>0</v>
      </c>
      <c r="J16" s="13">
        <f>INDEX(Dati!$R$2:$R$21,$N16)</f>
        <v>0</v>
      </c>
      <c r="M16">
        <f>LARGE(Dati!$S$2:$S$21,A16)</f>
        <v>100000007</v>
      </c>
      <c r="N16">
        <f>MATCH(M16,Dati!$S$2:$S$21,0)</f>
        <v>13</v>
      </c>
    </row>
    <row r="17" spans="1:14" ht="15" customHeight="1" x14ac:dyDescent="0.2">
      <c r="A17" s="14">
        <v>14</v>
      </c>
      <c r="B17" s="15" t="str">
        <f>INDEX(Dati!$J$2:$J$21,$N17)</f>
        <v>Napoli</v>
      </c>
      <c r="C17" s="14">
        <f>INDEX(Dati!$K$2:$K$21,$N17)</f>
        <v>0</v>
      </c>
      <c r="D17" s="14">
        <f>INDEX(Dati!$L$2:$L$21,$N17)</f>
        <v>0</v>
      </c>
      <c r="E17" s="14">
        <f>INDEX(Dati!$M$2:$M$21,$N17)</f>
        <v>0</v>
      </c>
      <c r="F17" s="14">
        <f>INDEX(Dati!$N$2:$N$21,$N17)</f>
        <v>0</v>
      </c>
      <c r="G17" s="14">
        <f>INDEX(Dati!$O$2:$O$21,$N17)</f>
        <v>0</v>
      </c>
      <c r="H17" s="14">
        <f>INDEX(Dati!$P$2:$P$21,$N17)</f>
        <v>0</v>
      </c>
      <c r="I17" s="14">
        <f>INDEX(Dati!$Q$2:$Q$21,$N17)</f>
        <v>0</v>
      </c>
      <c r="J17" s="16">
        <f>INDEX(Dati!$R$2:$R$21,$N17)</f>
        <v>0</v>
      </c>
      <c r="M17">
        <f>LARGE(Dati!$S$2:$S$21,A17)</f>
        <v>100000006</v>
      </c>
      <c r="N17">
        <f>MATCH(M17,Dati!$S$2:$S$21,0)</f>
        <v>14</v>
      </c>
    </row>
    <row r="18" spans="1:14" ht="15" customHeight="1" x14ac:dyDescent="0.2">
      <c r="A18" s="11">
        <v>15</v>
      </c>
      <c r="B18" s="12" t="str">
        <f>INDEX(Dati!$J$2:$J$21,$N18)</f>
        <v>Parma</v>
      </c>
      <c r="C18" s="11">
        <f>INDEX(Dati!$K$2:$K$21,$N18)</f>
        <v>0</v>
      </c>
      <c r="D18" s="11">
        <f>INDEX(Dati!$L$2:$L$21,$N18)</f>
        <v>0</v>
      </c>
      <c r="E18" s="11">
        <f>INDEX(Dati!$M$2:$M$21,$N18)</f>
        <v>0</v>
      </c>
      <c r="F18" s="11">
        <f>INDEX(Dati!$N$2:$N$21,$N18)</f>
        <v>0</v>
      </c>
      <c r="G18" s="11">
        <f>INDEX(Dati!$O$2:$O$21,$N18)</f>
        <v>0</v>
      </c>
      <c r="H18" s="11">
        <f>INDEX(Dati!$P$2:$P$21,$N18)</f>
        <v>0</v>
      </c>
      <c r="I18" s="11">
        <f>INDEX(Dati!$Q$2:$Q$21,$N18)</f>
        <v>0</v>
      </c>
      <c r="J18" s="13">
        <f>INDEX(Dati!$R$2:$R$21,$N18)</f>
        <v>0</v>
      </c>
      <c r="M18">
        <f>LARGE(Dati!$S$2:$S$21,A18)</f>
        <v>100000005</v>
      </c>
      <c r="N18">
        <f>MATCH(M18,Dati!$S$2:$S$21,0)</f>
        <v>15</v>
      </c>
    </row>
    <row r="19" spans="1:14" ht="15" customHeight="1" x14ac:dyDescent="0.2">
      <c r="A19" s="14">
        <v>16</v>
      </c>
      <c r="B19" s="15" t="str">
        <f>INDEX(Dati!$J$2:$J$21,$N19)</f>
        <v>Roma</v>
      </c>
      <c r="C19" s="14">
        <f>INDEX(Dati!$K$2:$K$21,$N19)</f>
        <v>0</v>
      </c>
      <c r="D19" s="14">
        <f>INDEX(Dati!$L$2:$L$21,$N19)</f>
        <v>0</v>
      </c>
      <c r="E19" s="14">
        <f>INDEX(Dati!$M$2:$M$21,$N19)</f>
        <v>0</v>
      </c>
      <c r="F19" s="14">
        <f>INDEX(Dati!$N$2:$N$21,$N19)</f>
        <v>0</v>
      </c>
      <c r="G19" s="14">
        <f>INDEX(Dati!$O$2:$O$21,$N19)</f>
        <v>0</v>
      </c>
      <c r="H19" s="14">
        <f>INDEX(Dati!$P$2:$P$21,$N19)</f>
        <v>0</v>
      </c>
      <c r="I19" s="14">
        <f>INDEX(Dati!$Q$2:$Q$21,$N19)</f>
        <v>0</v>
      </c>
      <c r="J19" s="16">
        <f>INDEX(Dati!$R$2:$R$21,$N19)</f>
        <v>0</v>
      </c>
      <c r="M19">
        <f>LARGE(Dati!$S$2:$S$21,A19)</f>
        <v>100000004</v>
      </c>
      <c r="N19">
        <f>MATCH(M19,Dati!$S$2:$S$21,0)</f>
        <v>16</v>
      </c>
    </row>
    <row r="20" spans="1:14" ht="15" customHeight="1" x14ac:dyDescent="0.2">
      <c r="A20" s="11">
        <v>17</v>
      </c>
      <c r="B20" s="12" t="str">
        <f>INDEX(Dati!$J$2:$J$21,$N20)</f>
        <v>Sassuolo</v>
      </c>
      <c r="C20" s="11">
        <f>INDEX(Dati!$K$2:$K$21,$N20)</f>
        <v>0</v>
      </c>
      <c r="D20" s="11">
        <f>INDEX(Dati!$L$2:$L$21,$N20)</f>
        <v>0</v>
      </c>
      <c r="E20" s="11">
        <f>INDEX(Dati!$M$2:$M$21,$N20)</f>
        <v>0</v>
      </c>
      <c r="F20" s="11">
        <f>INDEX(Dati!$N$2:$N$21,$N20)</f>
        <v>0</v>
      </c>
      <c r="G20" s="11">
        <f>INDEX(Dati!$O$2:$O$21,$N20)</f>
        <v>0</v>
      </c>
      <c r="H20" s="11">
        <f>INDEX(Dati!$P$2:$P$21,$N20)</f>
        <v>0</v>
      </c>
      <c r="I20" s="11">
        <f>INDEX(Dati!$Q$2:$Q$21,$N20)</f>
        <v>0</v>
      </c>
      <c r="J20" s="13">
        <f>INDEX(Dati!$R$2:$R$21,$N20)</f>
        <v>0</v>
      </c>
      <c r="M20">
        <f>LARGE(Dati!$S$2:$S$21,A20)</f>
        <v>100000003</v>
      </c>
      <c r="N20">
        <f>MATCH(M20,Dati!$S$2:$S$21,0)</f>
        <v>17</v>
      </c>
    </row>
    <row r="21" spans="1:14" ht="15" customHeight="1" x14ac:dyDescent="0.2">
      <c r="A21" s="14">
        <v>18</v>
      </c>
      <c r="B21" s="15" t="str">
        <f>INDEX(Dati!$J$2:$J$21,$N21)</f>
        <v>Torino</v>
      </c>
      <c r="C21" s="14">
        <f>INDEX(Dati!$K$2:$K$21,$N21)</f>
        <v>0</v>
      </c>
      <c r="D21" s="14">
        <f>INDEX(Dati!$L$2:$L$21,$N21)</f>
        <v>0</v>
      </c>
      <c r="E21" s="14">
        <f>INDEX(Dati!$M$2:$M$21,$N21)</f>
        <v>0</v>
      </c>
      <c r="F21" s="14">
        <f>INDEX(Dati!$N$2:$N$21,$N21)</f>
        <v>0</v>
      </c>
      <c r="G21" s="14">
        <f>INDEX(Dati!$O$2:$O$21,$N21)</f>
        <v>0</v>
      </c>
      <c r="H21" s="14">
        <f>INDEX(Dati!$P$2:$P$21,$N21)</f>
        <v>0</v>
      </c>
      <c r="I21" s="14">
        <f>INDEX(Dati!$Q$2:$Q$21,$N21)</f>
        <v>0</v>
      </c>
      <c r="J21" s="16">
        <f>INDEX(Dati!$R$2:$R$21,$N21)</f>
        <v>0</v>
      </c>
      <c r="M21">
        <f>LARGE(Dati!$S$2:$S$21,A21)</f>
        <v>100000002</v>
      </c>
      <c r="N21">
        <f>MATCH(M21,Dati!$S$2:$S$21,0)</f>
        <v>18</v>
      </c>
    </row>
    <row r="22" spans="1:14" ht="15" customHeight="1" x14ac:dyDescent="0.2">
      <c r="A22" s="11">
        <v>19</v>
      </c>
      <c r="B22" s="12" t="str">
        <f>INDEX(Dati!$J$2:$J$21,$N22)</f>
        <v>Udinese</v>
      </c>
      <c r="C22" s="11">
        <f>INDEX(Dati!$K$2:$K$21,$N22)</f>
        <v>0</v>
      </c>
      <c r="D22" s="11">
        <f>INDEX(Dati!$L$2:$L$21,$N22)</f>
        <v>0</v>
      </c>
      <c r="E22" s="11">
        <f>INDEX(Dati!$M$2:$M$21,$N22)</f>
        <v>0</v>
      </c>
      <c r="F22" s="11">
        <f>INDEX(Dati!$N$2:$N$21,$N22)</f>
        <v>0</v>
      </c>
      <c r="G22" s="11">
        <f>INDEX(Dati!$O$2:$O$21,$N22)</f>
        <v>0</v>
      </c>
      <c r="H22" s="11">
        <f>INDEX(Dati!$P$2:$P$21,$N22)</f>
        <v>0</v>
      </c>
      <c r="I22" s="11">
        <f>INDEX(Dati!$Q$2:$Q$21,$N22)</f>
        <v>0</v>
      </c>
      <c r="J22" s="13">
        <f>INDEX(Dati!$R$2:$R$21,$N22)</f>
        <v>0</v>
      </c>
      <c r="M22">
        <f>LARGE(Dati!$S$2:$S$21,A22)</f>
        <v>100000001</v>
      </c>
      <c r="N22">
        <f>MATCH(M22,Dati!$S$2:$S$21,0)</f>
        <v>19</v>
      </c>
    </row>
    <row r="23" spans="1:14" ht="15" customHeight="1" x14ac:dyDescent="0.2">
      <c r="A23" s="14">
        <v>20</v>
      </c>
      <c r="B23" s="15" t="str">
        <f>INDEX(Dati!$J$2:$J$21,$N23)</f>
        <v>Venezia</v>
      </c>
      <c r="C23" s="14">
        <f>INDEX(Dati!$K$2:$K$21,$N23)</f>
        <v>0</v>
      </c>
      <c r="D23" s="14">
        <f>INDEX(Dati!$L$2:$L$21,$N23)</f>
        <v>0</v>
      </c>
      <c r="E23" s="14">
        <f>INDEX(Dati!$M$2:$M$21,$N23)</f>
        <v>0</v>
      </c>
      <c r="F23" s="14">
        <f>INDEX(Dati!$N$2:$N$21,$N23)</f>
        <v>0</v>
      </c>
      <c r="G23" s="14">
        <f>INDEX(Dati!$O$2:$O$21,$N23)</f>
        <v>0</v>
      </c>
      <c r="H23" s="14">
        <f>INDEX(Dati!$P$2:$P$21,$N23)</f>
        <v>0</v>
      </c>
      <c r="I23" s="14">
        <f>INDEX(Dati!$Q$2:$Q$21,$N23)</f>
        <v>0</v>
      </c>
      <c r="J23" s="16">
        <f>INDEX(Dati!$R$2:$R$21,$N23)</f>
        <v>0</v>
      </c>
      <c r="M23">
        <f>LARGE(Dati!$S$2:$S$21,A23)</f>
        <v>100000000</v>
      </c>
      <c r="N23">
        <f>MATCH(M23,Dati!$S$2:$S$21,0)</f>
        <v>20</v>
      </c>
    </row>
  </sheetData>
  <sheetProtection algorithmName="SHA-512" hashValue="busL2FV+5PcZsH784BeoAgL16MkFYyj9UH6sLue95Q2qiTSyDpQZFl57t7JnkATOJ9HhTjH0XO7W8bxSipT6Iw==" saltValue="80xBXxtW0/CqULmxR1p3ZQ==" spinCount="100000" sheet="1"/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81"/>
  <sheetViews>
    <sheetView zoomScaleNormal="100" workbookViewId="0"/>
  </sheetViews>
  <sheetFormatPr baseColWidth="10" defaultColWidth="8.6640625" defaultRowHeight="15" x14ac:dyDescent="0.2"/>
  <sheetData>
    <row r="1" spans="1:23" ht="15" customHeight="1" x14ac:dyDescent="0.2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</row>
    <row r="2" spans="1:23" ht="15" customHeight="1" x14ac:dyDescent="0.2">
      <c r="A2" t="str">
        <f>Andata!D4</f>
        <v>Atalanta</v>
      </c>
      <c r="B2" t="str">
        <f>IF(Andata!E4="","",Andata!E4)</f>
        <v/>
      </c>
      <c r="C2" t="str">
        <f>IF(Andata!F4="","",Andata!F4)</f>
        <v/>
      </c>
      <c r="D2" t="str">
        <f>Andata!G4</f>
        <v>Sassuolo</v>
      </c>
      <c r="E2" t="str">
        <f t="shared" ref="E2:E65" si="0">IF(OR(B2="",C2=""),"",IF(B2&gt;C2,3,IF(B2=C2,1,0)))</f>
        <v/>
      </c>
      <c r="F2" t="str">
        <f t="shared" ref="F2:F65" si="1">IF(OR(B2="",C2=""),"",IF(C2&gt;B2,3,IF(B2=C2,1,0)))</f>
        <v/>
      </c>
      <c r="G2">
        <f t="shared" ref="G2:G65" si="2">IF(OR(B2="",C2=""),0,1)</f>
        <v>0</v>
      </c>
      <c r="J2" t="s">
        <v>10</v>
      </c>
      <c r="K2">
        <f t="shared" ref="K2:K21" si="3">SUMIFS($G$2:$G$381,$A$2:$A$381,J2)+SUMIFS($G$2:$G$381,$D$2:$D$381,J2)</f>
        <v>0</v>
      </c>
      <c r="L2">
        <f t="shared" ref="L2:L21" si="4">COUNTIFS($A$2:$A$381,J2,$E$2:$E$381,3)+COUNTIFS($D$2:$D$381,J2,$F$2:$F$381,3)</f>
        <v>0</v>
      </c>
      <c r="M2">
        <f t="shared" ref="M2:M21" si="5">COUNTIFS($A$2:$A$381,J2,$E$2:$E$381,1)+COUNTIFS($D$2:$D$381,J2,$F$2:$F$381,1)</f>
        <v>0</v>
      </c>
      <c r="N2">
        <f t="shared" ref="N2:N21" si="6">COUNTIFS($A$2:$A$381,J2,$E$2:$E$381,0)+COUNTIFS($D$2:$D$381,J2,$F$2:$F$381,0)</f>
        <v>0</v>
      </c>
      <c r="O2">
        <f t="shared" ref="O2:O21" si="7">SUMIFS($B$2:$B$381,$A$2:$A$381,J2)+SUMIFS($C$2:$C$381,$D$2:$D$381,J2)</f>
        <v>0</v>
      </c>
      <c r="P2">
        <f t="shared" ref="P2:P21" si="8">SUMIFS($C$2:$C$381,$A$2:$A$381,J2)+SUMIFS($B$2:$B$381,$D$2:$D$381,J2)</f>
        <v>0</v>
      </c>
      <c r="Q2">
        <f t="shared" ref="Q2:Q21" si="9">O2-P2</f>
        <v>0</v>
      </c>
      <c r="R2">
        <f t="shared" ref="R2:R21" si="10">L2*3+M2</f>
        <v>0</v>
      </c>
      <c r="S2">
        <f>R2*1000000000+(Q2+1000)*100000+O2*100+19</f>
        <v>100000019</v>
      </c>
      <c r="T2">
        <f t="shared" ref="T2:T21" si="11">(COUNTIFS($A$2:$A$191,J2,$E$2:$E$191,3)+COUNTIFS($D$2:$D$191,J2,$F$2:$F$191,3))*3+(COUNTIFS($A$2:$A$191,J2,$E$2:$E$191,1)+COUNTIFS($D$2:$D$191,J2,$F$2:$F$191,1))</f>
        <v>0</v>
      </c>
      <c r="U2">
        <f t="shared" ref="U2:U21" si="12">(SUMIFS($B$2:$B$191,$A$2:$A$191,J2)+SUMIFS($C$2:$C$191,$D$2:$D$191,J2))-(SUMIFS($C$2:$C$191,$A$2:$A$191,J2)+SUMIFS($B$2:$B$191,$D$2:$D$191,J2))</f>
        <v>0</v>
      </c>
      <c r="V2">
        <f t="shared" ref="V2:V21" si="13">SUMIFS($B$2:$B$191,$A$2:$A$191,J2)+SUMIFS($C$2:$C$191,$D$2:$D$191,J2)</f>
        <v>0</v>
      </c>
      <c r="W2">
        <f>T2*1000000000+(U2+1000)*100000+V2*100+19</f>
        <v>100000019</v>
      </c>
    </row>
    <row r="3" spans="1:23" ht="15" customHeight="1" x14ac:dyDescent="0.2">
      <c r="A3" t="str">
        <f>Andata!D5</f>
        <v>Bologna</v>
      </c>
      <c r="B3" t="str">
        <f>IF(Andata!E5="","",Andata!E5)</f>
        <v/>
      </c>
      <c r="C3" t="str">
        <f>IF(Andata!F5="","",Andata!F5)</f>
        <v/>
      </c>
      <c r="D3" t="str">
        <f>Andata!G5</f>
        <v>Lazio</v>
      </c>
      <c r="E3" t="str">
        <f t="shared" si="0"/>
        <v/>
      </c>
      <c r="F3" t="str">
        <f t="shared" si="1"/>
        <v/>
      </c>
      <c r="G3">
        <f t="shared" si="2"/>
        <v>0</v>
      </c>
      <c r="J3" t="s">
        <v>12</v>
      </c>
      <c r="K3">
        <f t="shared" si="3"/>
        <v>0</v>
      </c>
      <c r="L3">
        <f t="shared" si="4"/>
        <v>0</v>
      </c>
      <c r="M3">
        <f t="shared" si="5"/>
        <v>0</v>
      </c>
      <c r="N3">
        <f t="shared" si="6"/>
        <v>0</v>
      </c>
      <c r="O3">
        <f t="shared" si="7"/>
        <v>0</v>
      </c>
      <c r="P3">
        <f t="shared" si="8"/>
        <v>0</v>
      </c>
      <c r="Q3">
        <f t="shared" si="9"/>
        <v>0</v>
      </c>
      <c r="R3">
        <f t="shared" si="10"/>
        <v>0</v>
      </c>
      <c r="S3">
        <f>R3*1000000000+(Q3+1000)*100000+O3*100+18</f>
        <v>100000018</v>
      </c>
      <c r="T3">
        <f t="shared" si="11"/>
        <v>0</v>
      </c>
      <c r="U3">
        <f t="shared" si="12"/>
        <v>0</v>
      </c>
      <c r="V3">
        <f t="shared" si="13"/>
        <v>0</v>
      </c>
      <c r="W3">
        <f>T3*1000000000+(U3+1000)*100000+V3*100+18</f>
        <v>100000018</v>
      </c>
    </row>
    <row r="4" spans="1:23" ht="15" customHeight="1" x14ac:dyDescent="0.2">
      <c r="A4" t="str">
        <f>Andata!D6</f>
        <v>Frosinone</v>
      </c>
      <c r="B4" t="str">
        <f>IF(Andata!E6="","",Andata!E6)</f>
        <v/>
      </c>
      <c r="C4" t="str">
        <f>IF(Andata!F6="","",Andata!F6)</f>
        <v/>
      </c>
      <c r="D4" t="str">
        <f>Andata!G6</f>
        <v>Juventus</v>
      </c>
      <c r="E4" t="str">
        <f t="shared" si="0"/>
        <v/>
      </c>
      <c r="F4" t="str">
        <f t="shared" si="1"/>
        <v/>
      </c>
      <c r="G4">
        <f t="shared" si="2"/>
        <v>0</v>
      </c>
      <c r="J4" t="s">
        <v>13</v>
      </c>
      <c r="K4">
        <f t="shared" si="3"/>
        <v>0</v>
      </c>
      <c r="L4">
        <f t="shared" si="4"/>
        <v>0</v>
      </c>
      <c r="M4">
        <f t="shared" si="5"/>
        <v>0</v>
      </c>
      <c r="N4">
        <f t="shared" si="6"/>
        <v>0</v>
      </c>
      <c r="O4">
        <f t="shared" si="7"/>
        <v>0</v>
      </c>
      <c r="P4">
        <f t="shared" si="8"/>
        <v>0</v>
      </c>
      <c r="Q4">
        <f t="shared" si="9"/>
        <v>0</v>
      </c>
      <c r="R4">
        <f t="shared" si="10"/>
        <v>0</v>
      </c>
      <c r="S4">
        <f>R4*1000000000+(Q4+1000)*100000+O4*100+17</f>
        <v>100000017</v>
      </c>
      <c r="T4">
        <f t="shared" si="11"/>
        <v>0</v>
      </c>
      <c r="U4">
        <f t="shared" si="12"/>
        <v>0</v>
      </c>
      <c r="V4">
        <f t="shared" si="13"/>
        <v>0</v>
      </c>
      <c r="W4">
        <f>T4*1000000000+(U4+1000)*100000+V4*100+17</f>
        <v>100000017</v>
      </c>
    </row>
    <row r="5" spans="1:23" ht="15" customHeight="1" x14ac:dyDescent="0.2">
      <c r="A5" t="str">
        <f>Andata!D7</f>
        <v>Genoa</v>
      </c>
      <c r="B5" t="str">
        <f>IF(Andata!E7="","",Andata!E7)</f>
        <v/>
      </c>
      <c r="C5" t="str">
        <f>IF(Andata!F7="","",Andata!F7)</f>
        <v/>
      </c>
      <c r="D5" t="str">
        <f>Andata!G7</f>
        <v>Napoli</v>
      </c>
      <c r="E5" t="str">
        <f t="shared" si="0"/>
        <v/>
      </c>
      <c r="F5" t="str">
        <f t="shared" si="1"/>
        <v/>
      </c>
      <c r="G5">
        <f t="shared" si="2"/>
        <v>0</v>
      </c>
      <c r="J5" t="s">
        <v>17</v>
      </c>
      <c r="K5">
        <f t="shared" si="3"/>
        <v>0</v>
      </c>
      <c r="L5">
        <f t="shared" si="4"/>
        <v>0</v>
      </c>
      <c r="M5">
        <f t="shared" si="5"/>
        <v>0</v>
      </c>
      <c r="N5">
        <f t="shared" si="6"/>
        <v>0</v>
      </c>
      <c r="O5">
        <f t="shared" si="7"/>
        <v>0</v>
      </c>
      <c r="P5">
        <f t="shared" si="8"/>
        <v>0</v>
      </c>
      <c r="Q5">
        <f t="shared" si="9"/>
        <v>0</v>
      </c>
      <c r="R5">
        <f t="shared" si="10"/>
        <v>0</v>
      </c>
      <c r="S5">
        <f>R5*1000000000+(Q5+1000)*100000+O5*100+16</f>
        <v>100000016</v>
      </c>
      <c r="T5">
        <f t="shared" si="11"/>
        <v>0</v>
      </c>
      <c r="U5">
        <f t="shared" si="12"/>
        <v>0</v>
      </c>
      <c r="V5">
        <f t="shared" si="13"/>
        <v>0</v>
      </c>
      <c r="W5">
        <f>T5*1000000000+(U5+1000)*100000+V5*100+16</f>
        <v>100000016</v>
      </c>
    </row>
    <row r="6" spans="1:23" ht="15" customHeight="1" x14ac:dyDescent="0.2">
      <c r="A6" t="str">
        <f>Andata!D8</f>
        <v>Inter</v>
      </c>
      <c r="B6" t="str">
        <f>IF(Andata!E8="","",Andata!E8)</f>
        <v/>
      </c>
      <c r="C6" t="str">
        <f>IF(Andata!F8="","",Andata!F8)</f>
        <v/>
      </c>
      <c r="D6" t="str">
        <f>Andata!G8</f>
        <v>Monza</v>
      </c>
      <c r="E6" t="str">
        <f t="shared" si="0"/>
        <v/>
      </c>
      <c r="F6" t="str">
        <f t="shared" si="1"/>
        <v/>
      </c>
      <c r="G6">
        <f t="shared" si="2"/>
        <v>0</v>
      </c>
      <c r="J6" t="s">
        <v>21</v>
      </c>
      <c r="K6">
        <f t="shared" si="3"/>
        <v>0</v>
      </c>
      <c r="L6">
        <f t="shared" si="4"/>
        <v>0</v>
      </c>
      <c r="M6">
        <f t="shared" si="5"/>
        <v>0</v>
      </c>
      <c r="N6">
        <f t="shared" si="6"/>
        <v>0</v>
      </c>
      <c r="O6">
        <f t="shared" si="7"/>
        <v>0</v>
      </c>
      <c r="P6">
        <f t="shared" si="8"/>
        <v>0</v>
      </c>
      <c r="Q6">
        <f t="shared" si="9"/>
        <v>0</v>
      </c>
      <c r="R6">
        <f t="shared" si="10"/>
        <v>0</v>
      </c>
      <c r="S6">
        <f>R6*1000000000+(Q6+1000)*100000+O6*100+15</f>
        <v>100000015</v>
      </c>
      <c r="T6">
        <f t="shared" si="11"/>
        <v>0</v>
      </c>
      <c r="U6">
        <f t="shared" si="12"/>
        <v>0</v>
      </c>
      <c r="V6">
        <f t="shared" si="13"/>
        <v>0</v>
      </c>
      <c r="W6">
        <f>T6*1000000000+(U6+1000)*100000+V6*100+15</f>
        <v>100000015</v>
      </c>
    </row>
    <row r="7" spans="1:23" ht="15" customHeight="1" x14ac:dyDescent="0.2">
      <c r="A7" t="str">
        <f>Andata!D9</f>
        <v>Parma</v>
      </c>
      <c r="B7" t="str">
        <f>IF(Andata!E9="","",Andata!E9)</f>
        <v/>
      </c>
      <c r="C7" t="str">
        <f>IF(Andata!F9="","",Andata!F9)</f>
        <v/>
      </c>
      <c r="D7" t="str">
        <f>Andata!G9</f>
        <v>Cagliari</v>
      </c>
      <c r="E7" t="str">
        <f t="shared" si="0"/>
        <v/>
      </c>
      <c r="F7" t="str">
        <f t="shared" si="1"/>
        <v/>
      </c>
      <c r="G7">
        <f t="shared" si="2"/>
        <v>0</v>
      </c>
      <c r="J7" t="s">
        <v>19</v>
      </c>
      <c r="K7">
        <f t="shared" si="3"/>
        <v>0</v>
      </c>
      <c r="L7">
        <f t="shared" si="4"/>
        <v>0</v>
      </c>
      <c r="M7">
        <f t="shared" si="5"/>
        <v>0</v>
      </c>
      <c r="N7">
        <f t="shared" si="6"/>
        <v>0</v>
      </c>
      <c r="O7">
        <f t="shared" si="7"/>
        <v>0</v>
      </c>
      <c r="P7">
        <f t="shared" si="8"/>
        <v>0</v>
      </c>
      <c r="Q7">
        <f t="shared" si="9"/>
        <v>0</v>
      </c>
      <c r="R7">
        <f t="shared" si="10"/>
        <v>0</v>
      </c>
      <c r="S7">
        <f>R7*1000000000+(Q7+1000)*100000+O7*100+14</f>
        <v>100000014</v>
      </c>
      <c r="T7">
        <f t="shared" si="11"/>
        <v>0</v>
      </c>
      <c r="U7">
        <f t="shared" si="12"/>
        <v>0</v>
      </c>
      <c r="V7">
        <f t="shared" si="13"/>
        <v>0</v>
      </c>
      <c r="W7">
        <f>T7*1000000000+(U7+1000)*100000+V7*100+14</f>
        <v>100000014</v>
      </c>
    </row>
    <row r="8" spans="1:23" ht="15" customHeight="1" x14ac:dyDescent="0.2">
      <c r="A8" t="str">
        <f>Andata!D10</f>
        <v>Roma</v>
      </c>
      <c r="B8" t="str">
        <f>IF(Andata!E10="","",Andata!E10)</f>
        <v/>
      </c>
      <c r="C8" t="str">
        <f>IF(Andata!F10="","",Andata!F10)</f>
        <v/>
      </c>
      <c r="D8" t="str">
        <f>Andata!G10</f>
        <v>Fiorentina</v>
      </c>
      <c r="E8" t="str">
        <f t="shared" si="0"/>
        <v/>
      </c>
      <c r="F8" t="str">
        <f t="shared" si="1"/>
        <v/>
      </c>
      <c r="G8">
        <f t="shared" si="2"/>
        <v>0</v>
      </c>
      <c r="J8" t="s">
        <v>23</v>
      </c>
      <c r="K8">
        <f t="shared" si="3"/>
        <v>0</v>
      </c>
      <c r="L8">
        <f t="shared" si="4"/>
        <v>0</v>
      </c>
      <c r="M8">
        <f t="shared" si="5"/>
        <v>0</v>
      </c>
      <c r="N8">
        <f t="shared" si="6"/>
        <v>0</v>
      </c>
      <c r="O8">
        <f t="shared" si="7"/>
        <v>0</v>
      </c>
      <c r="P8">
        <f t="shared" si="8"/>
        <v>0</v>
      </c>
      <c r="Q8">
        <f t="shared" si="9"/>
        <v>0</v>
      </c>
      <c r="R8">
        <f t="shared" si="10"/>
        <v>0</v>
      </c>
      <c r="S8">
        <f>R8*1000000000+(Q8+1000)*100000+O8*100+13</f>
        <v>100000013</v>
      </c>
      <c r="T8">
        <f t="shared" si="11"/>
        <v>0</v>
      </c>
      <c r="U8">
        <f t="shared" si="12"/>
        <v>0</v>
      </c>
      <c r="V8">
        <f t="shared" si="13"/>
        <v>0</v>
      </c>
      <c r="W8">
        <f>T8*1000000000+(U8+1000)*100000+V8*100+13</f>
        <v>100000013</v>
      </c>
    </row>
    <row r="9" spans="1:23" ht="15" customHeight="1" x14ac:dyDescent="0.2">
      <c r="A9" t="str">
        <f>Andata!D11</f>
        <v>Torino</v>
      </c>
      <c r="B9" t="str">
        <f>IF(Andata!E11="","",Andata!E11)</f>
        <v/>
      </c>
      <c r="C9" t="str">
        <f>IF(Andata!F11="","",Andata!F11)</f>
        <v/>
      </c>
      <c r="D9" t="str">
        <f>Andata!G11</f>
        <v>Milan</v>
      </c>
      <c r="E9" t="str">
        <f t="shared" si="0"/>
        <v/>
      </c>
      <c r="F9" t="str">
        <f t="shared" si="1"/>
        <v/>
      </c>
      <c r="G9">
        <f t="shared" si="2"/>
        <v>0</v>
      </c>
      <c r="J9" t="s">
        <v>15</v>
      </c>
      <c r="K9">
        <f t="shared" si="3"/>
        <v>0</v>
      </c>
      <c r="L9">
        <f t="shared" si="4"/>
        <v>0</v>
      </c>
      <c r="M9">
        <f t="shared" si="5"/>
        <v>0</v>
      </c>
      <c r="N9">
        <f t="shared" si="6"/>
        <v>0</v>
      </c>
      <c r="O9">
        <f t="shared" si="7"/>
        <v>0</v>
      </c>
      <c r="P9">
        <f t="shared" si="8"/>
        <v>0</v>
      </c>
      <c r="Q9">
        <f t="shared" si="9"/>
        <v>0</v>
      </c>
      <c r="R9">
        <f t="shared" si="10"/>
        <v>0</v>
      </c>
      <c r="S9">
        <f>R9*1000000000+(Q9+1000)*100000+O9*100+12</f>
        <v>100000012</v>
      </c>
      <c r="T9">
        <f t="shared" si="11"/>
        <v>0</v>
      </c>
      <c r="U9">
        <f t="shared" si="12"/>
        <v>0</v>
      </c>
      <c r="V9">
        <f t="shared" si="13"/>
        <v>0</v>
      </c>
      <c r="W9">
        <f>T9*1000000000+(U9+1000)*100000+V9*100+12</f>
        <v>100000012</v>
      </c>
    </row>
    <row r="10" spans="1:23" ht="15" customHeight="1" x14ac:dyDescent="0.2">
      <c r="A10" t="str">
        <f>Andata!D12</f>
        <v>Udinese</v>
      </c>
      <c r="B10" t="str">
        <f>IF(Andata!E12="","",Andata!E12)</f>
        <v/>
      </c>
      <c r="C10" t="str">
        <f>IF(Andata!F12="","",Andata!F12)</f>
        <v/>
      </c>
      <c r="D10" t="str">
        <f>Andata!G12</f>
        <v>Como</v>
      </c>
      <c r="E10" t="str">
        <f t="shared" si="0"/>
        <v/>
      </c>
      <c r="F10" t="str">
        <f t="shared" si="1"/>
        <v/>
      </c>
      <c r="G10">
        <f t="shared" si="2"/>
        <v>0</v>
      </c>
      <c r="J10" t="s">
        <v>20</v>
      </c>
      <c r="K10">
        <f t="shared" si="3"/>
        <v>0</v>
      </c>
      <c r="L10">
        <f t="shared" si="4"/>
        <v>0</v>
      </c>
      <c r="M10">
        <f t="shared" si="5"/>
        <v>0</v>
      </c>
      <c r="N10">
        <f t="shared" si="6"/>
        <v>0</v>
      </c>
      <c r="O10">
        <f t="shared" si="7"/>
        <v>0</v>
      </c>
      <c r="P10">
        <f t="shared" si="8"/>
        <v>0</v>
      </c>
      <c r="Q10">
        <f t="shared" si="9"/>
        <v>0</v>
      </c>
      <c r="R10">
        <f t="shared" si="10"/>
        <v>0</v>
      </c>
      <c r="S10">
        <f>R10*1000000000+(Q10+1000)*100000+O10*100+11</f>
        <v>100000011</v>
      </c>
      <c r="T10">
        <f t="shared" si="11"/>
        <v>0</v>
      </c>
      <c r="U10">
        <f t="shared" si="12"/>
        <v>0</v>
      </c>
      <c r="V10">
        <f t="shared" si="13"/>
        <v>0</v>
      </c>
      <c r="W10">
        <f>T10*1000000000+(U10+1000)*100000+V10*100+11</f>
        <v>100000011</v>
      </c>
    </row>
    <row r="11" spans="1:23" ht="15" customHeight="1" x14ac:dyDescent="0.2">
      <c r="A11" t="str">
        <f>Andata!D13</f>
        <v>Venezia</v>
      </c>
      <c r="B11" t="str">
        <f>IF(Andata!E13="","",Andata!E13)</f>
        <v/>
      </c>
      <c r="C11" t="str">
        <f>IF(Andata!F13="","",Andata!F13)</f>
        <v/>
      </c>
      <c r="D11" t="str">
        <f>Andata!G13</f>
        <v>Lecce</v>
      </c>
      <c r="E11" t="str">
        <f t="shared" si="0"/>
        <v/>
      </c>
      <c r="F11" t="str">
        <f t="shared" si="1"/>
        <v/>
      </c>
      <c r="G11">
        <f t="shared" si="2"/>
        <v>0</v>
      </c>
      <c r="J11" t="s">
        <v>14</v>
      </c>
      <c r="K11">
        <f t="shared" si="3"/>
        <v>0</v>
      </c>
      <c r="L11">
        <f t="shared" si="4"/>
        <v>0</v>
      </c>
      <c r="M11">
        <f t="shared" si="5"/>
        <v>0</v>
      </c>
      <c r="N11">
        <f t="shared" si="6"/>
        <v>0</v>
      </c>
      <c r="O11">
        <f t="shared" si="7"/>
        <v>0</v>
      </c>
      <c r="P11">
        <f t="shared" si="8"/>
        <v>0</v>
      </c>
      <c r="Q11">
        <f t="shared" si="9"/>
        <v>0</v>
      </c>
      <c r="R11">
        <f t="shared" si="10"/>
        <v>0</v>
      </c>
      <c r="S11">
        <f>R11*1000000000+(Q11+1000)*100000+O11*100+10</f>
        <v>100000010</v>
      </c>
      <c r="T11">
        <f t="shared" si="11"/>
        <v>0</v>
      </c>
      <c r="U11">
        <f t="shared" si="12"/>
        <v>0</v>
      </c>
      <c r="V11">
        <f t="shared" si="13"/>
        <v>0</v>
      </c>
      <c r="W11">
        <f>T11*1000000000+(U11+1000)*100000+V11*100+10</f>
        <v>100000010</v>
      </c>
    </row>
    <row r="12" spans="1:23" ht="15" customHeight="1" x14ac:dyDescent="0.2">
      <c r="A12" t="str">
        <f>Andata!J4</f>
        <v>Atalanta</v>
      </c>
      <c r="B12" t="str">
        <f>IF(Andata!K4="","",Andata!K4)</f>
        <v/>
      </c>
      <c r="C12" t="str">
        <f>IF(Andata!L4="","",Andata!L4)</f>
        <v/>
      </c>
      <c r="D12" t="str">
        <f>Andata!M4</f>
        <v>Bologna</v>
      </c>
      <c r="E12" t="str">
        <f t="shared" si="0"/>
        <v/>
      </c>
      <c r="F12" t="str">
        <f t="shared" si="1"/>
        <v/>
      </c>
      <c r="G12">
        <f t="shared" si="2"/>
        <v>0</v>
      </c>
      <c r="J12" t="s">
        <v>16</v>
      </c>
      <c r="K12">
        <f t="shared" si="3"/>
        <v>0</v>
      </c>
      <c r="L12">
        <f t="shared" si="4"/>
        <v>0</v>
      </c>
      <c r="M12">
        <f t="shared" si="5"/>
        <v>0</v>
      </c>
      <c r="N12">
        <f t="shared" si="6"/>
        <v>0</v>
      </c>
      <c r="O12">
        <f t="shared" si="7"/>
        <v>0</v>
      </c>
      <c r="P12">
        <f t="shared" si="8"/>
        <v>0</v>
      </c>
      <c r="Q12">
        <f t="shared" si="9"/>
        <v>0</v>
      </c>
      <c r="R12">
        <f t="shared" si="10"/>
        <v>0</v>
      </c>
      <c r="S12">
        <f>R12*1000000000+(Q12+1000)*100000+O12*100+9</f>
        <v>100000009</v>
      </c>
      <c r="T12">
        <f t="shared" si="11"/>
        <v>0</v>
      </c>
      <c r="U12">
        <f t="shared" si="12"/>
        <v>0</v>
      </c>
      <c r="V12">
        <f t="shared" si="13"/>
        <v>0</v>
      </c>
      <c r="W12">
        <f>T12*1000000000+(U12+1000)*100000+V12*100+9</f>
        <v>100000009</v>
      </c>
    </row>
    <row r="13" spans="1:23" ht="15" customHeight="1" x14ac:dyDescent="0.2">
      <c r="A13" t="str">
        <f>Andata!J5</f>
        <v>Cagliari</v>
      </c>
      <c r="B13" t="str">
        <f>IF(Andata!K5="","",Andata!K5)</f>
        <v/>
      </c>
      <c r="C13" t="str">
        <f>IF(Andata!L5="","",Andata!L5)</f>
        <v/>
      </c>
      <c r="D13" t="str">
        <f>Andata!M5</f>
        <v>Inter</v>
      </c>
      <c r="E13" t="str">
        <f t="shared" si="0"/>
        <v/>
      </c>
      <c r="F13" t="str">
        <f t="shared" si="1"/>
        <v/>
      </c>
      <c r="G13">
        <f t="shared" si="2"/>
        <v>0</v>
      </c>
      <c r="J13" t="s">
        <v>28</v>
      </c>
      <c r="K13">
        <f t="shared" si="3"/>
        <v>0</v>
      </c>
      <c r="L13">
        <f t="shared" si="4"/>
        <v>0</v>
      </c>
      <c r="M13">
        <f t="shared" si="5"/>
        <v>0</v>
      </c>
      <c r="N13">
        <f t="shared" si="6"/>
        <v>0</v>
      </c>
      <c r="O13">
        <f t="shared" si="7"/>
        <v>0</v>
      </c>
      <c r="P13">
        <f t="shared" si="8"/>
        <v>0</v>
      </c>
      <c r="Q13">
        <f t="shared" si="9"/>
        <v>0</v>
      </c>
      <c r="R13">
        <f t="shared" si="10"/>
        <v>0</v>
      </c>
      <c r="S13">
        <f>R13*1000000000+(Q13+1000)*100000+O13*100+8</f>
        <v>100000008</v>
      </c>
      <c r="T13">
        <f t="shared" si="11"/>
        <v>0</v>
      </c>
      <c r="U13">
        <f t="shared" si="12"/>
        <v>0</v>
      </c>
      <c r="V13">
        <f t="shared" si="13"/>
        <v>0</v>
      </c>
      <c r="W13">
        <f>T13*1000000000+(U13+1000)*100000+V13*100+8</f>
        <v>100000008</v>
      </c>
    </row>
    <row r="14" spans="1:23" ht="15" customHeight="1" x14ac:dyDescent="0.2">
      <c r="A14" t="str">
        <f>Andata!J6</f>
        <v>Fiorentina</v>
      </c>
      <c r="B14" t="str">
        <f>IF(Andata!K6="","",Andata!K6)</f>
        <v/>
      </c>
      <c r="C14" t="str">
        <f>IF(Andata!L6="","",Andata!L6)</f>
        <v/>
      </c>
      <c r="D14" t="str">
        <f>Andata!M6</f>
        <v>Frosinone</v>
      </c>
      <c r="E14" t="str">
        <f t="shared" si="0"/>
        <v/>
      </c>
      <c r="F14" t="str">
        <f t="shared" si="1"/>
        <v/>
      </c>
      <c r="G14">
        <f t="shared" si="2"/>
        <v>0</v>
      </c>
      <c r="J14" t="s">
        <v>27</v>
      </c>
      <c r="K14">
        <f t="shared" si="3"/>
        <v>0</v>
      </c>
      <c r="L14">
        <f t="shared" si="4"/>
        <v>0</v>
      </c>
      <c r="M14">
        <f t="shared" si="5"/>
        <v>0</v>
      </c>
      <c r="N14">
        <f t="shared" si="6"/>
        <v>0</v>
      </c>
      <c r="O14">
        <f t="shared" si="7"/>
        <v>0</v>
      </c>
      <c r="P14">
        <f t="shared" si="8"/>
        <v>0</v>
      </c>
      <c r="Q14">
        <f t="shared" si="9"/>
        <v>0</v>
      </c>
      <c r="R14">
        <f t="shared" si="10"/>
        <v>0</v>
      </c>
      <c r="S14">
        <f>R14*1000000000+(Q14+1000)*100000+O14*100+7</f>
        <v>100000007</v>
      </c>
      <c r="T14">
        <f t="shared" si="11"/>
        <v>0</v>
      </c>
      <c r="U14">
        <f t="shared" si="12"/>
        <v>0</v>
      </c>
      <c r="V14">
        <f t="shared" si="13"/>
        <v>0</v>
      </c>
      <c r="W14">
        <f>T14*1000000000+(U14+1000)*100000+V14*100+7</f>
        <v>100000007</v>
      </c>
    </row>
    <row r="15" spans="1:23" ht="15" customHeight="1" x14ac:dyDescent="0.2">
      <c r="A15" t="str">
        <f>Andata!J7</f>
        <v>Juventus</v>
      </c>
      <c r="B15" t="str">
        <f>IF(Andata!K7="","",Andata!K7)</f>
        <v/>
      </c>
      <c r="C15" t="str">
        <f>IF(Andata!L7="","",Andata!L7)</f>
        <v/>
      </c>
      <c r="D15" t="str">
        <f>Andata!M7</f>
        <v>Parma</v>
      </c>
      <c r="E15" t="str">
        <f t="shared" si="0"/>
        <v/>
      </c>
      <c r="F15" t="str">
        <f t="shared" si="1"/>
        <v/>
      </c>
      <c r="G15">
        <f t="shared" si="2"/>
        <v>0</v>
      </c>
      <c r="J15" t="s">
        <v>24</v>
      </c>
      <c r="K15">
        <f t="shared" si="3"/>
        <v>0</v>
      </c>
      <c r="L15">
        <f t="shared" si="4"/>
        <v>0</v>
      </c>
      <c r="M15">
        <f t="shared" si="5"/>
        <v>0</v>
      </c>
      <c r="N15">
        <f t="shared" si="6"/>
        <v>0</v>
      </c>
      <c r="O15">
        <f t="shared" si="7"/>
        <v>0</v>
      </c>
      <c r="P15">
        <f t="shared" si="8"/>
        <v>0</v>
      </c>
      <c r="Q15">
        <f t="shared" si="9"/>
        <v>0</v>
      </c>
      <c r="R15">
        <f t="shared" si="10"/>
        <v>0</v>
      </c>
      <c r="S15">
        <f>R15*1000000000+(Q15+1000)*100000+O15*100+6</f>
        <v>100000006</v>
      </c>
      <c r="T15">
        <f t="shared" si="11"/>
        <v>0</v>
      </c>
      <c r="U15">
        <f t="shared" si="12"/>
        <v>0</v>
      </c>
      <c r="V15">
        <f t="shared" si="13"/>
        <v>0</v>
      </c>
      <c r="W15">
        <f>T15*1000000000+(U15+1000)*100000+V15*100+6</f>
        <v>100000006</v>
      </c>
    </row>
    <row r="16" spans="1:23" ht="15" customHeight="1" x14ac:dyDescent="0.2">
      <c r="A16" t="str">
        <f>Andata!J8</f>
        <v>Lazio</v>
      </c>
      <c r="B16" t="str">
        <f>IF(Andata!K8="","",Andata!K8)</f>
        <v/>
      </c>
      <c r="C16" t="str">
        <f>IF(Andata!L8="","",Andata!L8)</f>
        <v/>
      </c>
      <c r="D16" t="str">
        <f>Andata!M8</f>
        <v>Genoa</v>
      </c>
      <c r="E16" t="str">
        <f t="shared" si="0"/>
        <v/>
      </c>
      <c r="F16" t="str">
        <f t="shared" si="1"/>
        <v/>
      </c>
      <c r="G16">
        <f t="shared" si="2"/>
        <v>0</v>
      </c>
      <c r="J16" t="s">
        <v>18</v>
      </c>
      <c r="K16">
        <f t="shared" si="3"/>
        <v>0</v>
      </c>
      <c r="L16">
        <f t="shared" si="4"/>
        <v>0</v>
      </c>
      <c r="M16">
        <f t="shared" si="5"/>
        <v>0</v>
      </c>
      <c r="N16">
        <f t="shared" si="6"/>
        <v>0</v>
      </c>
      <c r="O16">
        <f t="shared" si="7"/>
        <v>0</v>
      </c>
      <c r="P16">
        <f t="shared" si="8"/>
        <v>0</v>
      </c>
      <c r="Q16">
        <f t="shared" si="9"/>
        <v>0</v>
      </c>
      <c r="R16">
        <f t="shared" si="10"/>
        <v>0</v>
      </c>
      <c r="S16">
        <f>R16*1000000000+(Q16+1000)*100000+O16*100+5</f>
        <v>100000005</v>
      </c>
      <c r="T16">
        <f t="shared" si="11"/>
        <v>0</v>
      </c>
      <c r="U16">
        <f t="shared" si="12"/>
        <v>0</v>
      </c>
      <c r="V16">
        <f t="shared" si="13"/>
        <v>0</v>
      </c>
      <c r="W16">
        <f>T16*1000000000+(U16+1000)*100000+V16*100+5</f>
        <v>100000005</v>
      </c>
    </row>
    <row r="17" spans="1:23" ht="15" customHeight="1" x14ac:dyDescent="0.2">
      <c r="A17" t="str">
        <f>Andata!J9</f>
        <v>Lecce</v>
      </c>
      <c r="B17" t="str">
        <f>IF(Andata!K9="","",Andata!K9)</f>
        <v/>
      </c>
      <c r="C17" t="str">
        <f>IF(Andata!L9="","",Andata!L9)</f>
        <v/>
      </c>
      <c r="D17" t="str">
        <f>Andata!M9</f>
        <v>Roma</v>
      </c>
      <c r="E17" t="str">
        <f t="shared" si="0"/>
        <v/>
      </c>
      <c r="F17" t="str">
        <f t="shared" si="1"/>
        <v/>
      </c>
      <c r="G17">
        <f t="shared" si="2"/>
        <v>0</v>
      </c>
      <c r="J17" t="s">
        <v>29</v>
      </c>
      <c r="K17">
        <f t="shared" si="3"/>
        <v>0</v>
      </c>
      <c r="L17">
        <f t="shared" si="4"/>
        <v>0</v>
      </c>
      <c r="M17">
        <f t="shared" si="5"/>
        <v>0</v>
      </c>
      <c r="N17">
        <f t="shared" si="6"/>
        <v>0</v>
      </c>
      <c r="O17">
        <f t="shared" si="7"/>
        <v>0</v>
      </c>
      <c r="P17">
        <f t="shared" si="8"/>
        <v>0</v>
      </c>
      <c r="Q17">
        <f t="shared" si="9"/>
        <v>0</v>
      </c>
      <c r="R17">
        <f t="shared" si="10"/>
        <v>0</v>
      </c>
      <c r="S17">
        <f>R17*1000000000+(Q17+1000)*100000+O17*100+4</f>
        <v>100000004</v>
      </c>
      <c r="T17">
        <f t="shared" si="11"/>
        <v>0</v>
      </c>
      <c r="U17">
        <f t="shared" si="12"/>
        <v>0</v>
      </c>
      <c r="V17">
        <f t="shared" si="13"/>
        <v>0</v>
      </c>
      <c r="W17">
        <f>T17*1000000000+(U17+1000)*100000+V17*100+4</f>
        <v>100000004</v>
      </c>
    </row>
    <row r="18" spans="1:23" ht="15" customHeight="1" x14ac:dyDescent="0.2">
      <c r="A18" t="str">
        <f>Andata!J10</f>
        <v>Milan</v>
      </c>
      <c r="B18" t="str">
        <f>IF(Andata!K10="","",Andata!K10)</f>
        <v/>
      </c>
      <c r="C18" t="str">
        <f>IF(Andata!L10="","",Andata!L10)</f>
        <v/>
      </c>
      <c r="D18" t="str">
        <f>Andata!M10</f>
        <v>Venezia</v>
      </c>
      <c r="E18" t="str">
        <f t="shared" si="0"/>
        <v/>
      </c>
      <c r="F18" t="str">
        <f t="shared" si="1"/>
        <v/>
      </c>
      <c r="G18">
        <f t="shared" si="2"/>
        <v>0</v>
      </c>
      <c r="J18" t="s">
        <v>11</v>
      </c>
      <c r="K18">
        <f t="shared" si="3"/>
        <v>0</v>
      </c>
      <c r="L18">
        <f t="shared" si="4"/>
        <v>0</v>
      </c>
      <c r="M18">
        <f t="shared" si="5"/>
        <v>0</v>
      </c>
      <c r="N18">
        <f t="shared" si="6"/>
        <v>0</v>
      </c>
      <c r="O18">
        <f t="shared" si="7"/>
        <v>0</v>
      </c>
      <c r="P18">
        <f t="shared" si="8"/>
        <v>0</v>
      </c>
      <c r="Q18">
        <f t="shared" si="9"/>
        <v>0</v>
      </c>
      <c r="R18">
        <f t="shared" si="10"/>
        <v>0</v>
      </c>
      <c r="S18">
        <f>R18*1000000000+(Q18+1000)*100000+O18*100+3</f>
        <v>100000003</v>
      </c>
      <c r="T18">
        <f t="shared" si="11"/>
        <v>0</v>
      </c>
      <c r="U18">
        <f t="shared" si="12"/>
        <v>0</v>
      </c>
      <c r="V18">
        <f t="shared" si="13"/>
        <v>0</v>
      </c>
      <c r="W18">
        <f>T18*1000000000+(U18+1000)*100000+V18*100+3</f>
        <v>100000003</v>
      </c>
    </row>
    <row r="19" spans="1:23" ht="15" customHeight="1" x14ac:dyDescent="0.2">
      <c r="A19" t="str">
        <f>Andata!J11</f>
        <v>Monza</v>
      </c>
      <c r="B19" t="str">
        <f>IF(Andata!K11="","",Andata!K11)</f>
        <v/>
      </c>
      <c r="C19" t="str">
        <f>IF(Andata!L11="","",Andata!L11)</f>
        <v/>
      </c>
      <c r="D19" t="str">
        <f>Andata!M11</f>
        <v>Udinese</v>
      </c>
      <c r="E19" t="str">
        <f t="shared" si="0"/>
        <v/>
      </c>
      <c r="F19" t="str">
        <f t="shared" si="1"/>
        <v/>
      </c>
      <c r="G19">
        <f t="shared" si="2"/>
        <v>0</v>
      </c>
      <c r="J19" t="s">
        <v>22</v>
      </c>
      <c r="K19">
        <f t="shared" si="3"/>
        <v>0</v>
      </c>
      <c r="L19">
        <f t="shared" si="4"/>
        <v>0</v>
      </c>
      <c r="M19">
        <f t="shared" si="5"/>
        <v>0</v>
      </c>
      <c r="N19">
        <f t="shared" si="6"/>
        <v>0</v>
      </c>
      <c r="O19">
        <f t="shared" si="7"/>
        <v>0</v>
      </c>
      <c r="P19">
        <f t="shared" si="8"/>
        <v>0</v>
      </c>
      <c r="Q19">
        <f t="shared" si="9"/>
        <v>0</v>
      </c>
      <c r="R19">
        <f t="shared" si="10"/>
        <v>0</v>
      </c>
      <c r="S19">
        <f>R19*1000000000+(Q19+1000)*100000+O19*100+2</f>
        <v>100000002</v>
      </c>
      <c r="T19">
        <f t="shared" si="11"/>
        <v>0</v>
      </c>
      <c r="U19">
        <f t="shared" si="12"/>
        <v>0</v>
      </c>
      <c r="V19">
        <f t="shared" si="13"/>
        <v>0</v>
      </c>
      <c r="W19">
        <f>T19*1000000000+(U19+1000)*100000+V19*100+2</f>
        <v>100000002</v>
      </c>
    </row>
    <row r="20" spans="1:23" ht="15" customHeight="1" x14ac:dyDescent="0.2">
      <c r="A20" t="str">
        <f>Andata!J12</f>
        <v>Napoli</v>
      </c>
      <c r="B20" t="str">
        <f>IF(Andata!K12="","",Andata!K12)</f>
        <v/>
      </c>
      <c r="C20" t="str">
        <f>IF(Andata!L12="","",Andata!L12)</f>
        <v/>
      </c>
      <c r="D20" t="str">
        <f>Andata!M12</f>
        <v>Como</v>
      </c>
      <c r="E20" t="str">
        <f t="shared" si="0"/>
        <v/>
      </c>
      <c r="F20" t="str">
        <f t="shared" si="1"/>
        <v/>
      </c>
      <c r="G20">
        <f t="shared" si="2"/>
        <v>0</v>
      </c>
      <c r="J20" t="s">
        <v>26</v>
      </c>
      <c r="K20">
        <f t="shared" si="3"/>
        <v>0</v>
      </c>
      <c r="L20">
        <f t="shared" si="4"/>
        <v>0</v>
      </c>
      <c r="M20">
        <f t="shared" si="5"/>
        <v>0</v>
      </c>
      <c r="N20">
        <f t="shared" si="6"/>
        <v>0</v>
      </c>
      <c r="O20">
        <f t="shared" si="7"/>
        <v>0</v>
      </c>
      <c r="P20">
        <f t="shared" si="8"/>
        <v>0</v>
      </c>
      <c r="Q20">
        <f t="shared" si="9"/>
        <v>0</v>
      </c>
      <c r="R20">
        <f t="shared" si="10"/>
        <v>0</v>
      </c>
      <c r="S20">
        <f>R20*1000000000+(Q20+1000)*100000+O20*100+1</f>
        <v>100000001</v>
      </c>
      <c r="T20">
        <f t="shared" si="11"/>
        <v>0</v>
      </c>
      <c r="U20">
        <f t="shared" si="12"/>
        <v>0</v>
      </c>
      <c r="V20">
        <f t="shared" si="13"/>
        <v>0</v>
      </c>
      <c r="W20">
        <f>T20*1000000000+(U20+1000)*100000+V20*100+1</f>
        <v>100000001</v>
      </c>
    </row>
    <row r="21" spans="1:23" ht="15" customHeight="1" x14ac:dyDescent="0.2">
      <c r="A21" t="str">
        <f>Andata!J13</f>
        <v>Sassuolo</v>
      </c>
      <c r="B21" t="str">
        <f>IF(Andata!K13="","",Andata!K13)</f>
        <v/>
      </c>
      <c r="C21" t="str">
        <f>IF(Andata!L13="","",Andata!L13)</f>
        <v/>
      </c>
      <c r="D21" t="str">
        <f>Andata!M13</f>
        <v>Torino</v>
      </c>
      <c r="E21" t="str">
        <f t="shared" si="0"/>
        <v/>
      </c>
      <c r="F21" t="str">
        <f t="shared" si="1"/>
        <v/>
      </c>
      <c r="G21">
        <f t="shared" si="2"/>
        <v>0</v>
      </c>
      <c r="J21" t="s">
        <v>25</v>
      </c>
      <c r="K21">
        <f t="shared" si="3"/>
        <v>0</v>
      </c>
      <c r="L21">
        <f t="shared" si="4"/>
        <v>0</v>
      </c>
      <c r="M21">
        <f t="shared" si="5"/>
        <v>0</v>
      </c>
      <c r="N21">
        <f t="shared" si="6"/>
        <v>0</v>
      </c>
      <c r="O21">
        <f t="shared" si="7"/>
        <v>0</v>
      </c>
      <c r="P21">
        <f t="shared" si="8"/>
        <v>0</v>
      </c>
      <c r="Q21">
        <f t="shared" si="9"/>
        <v>0</v>
      </c>
      <c r="R21">
        <f t="shared" si="10"/>
        <v>0</v>
      </c>
      <c r="S21">
        <f>R21*1000000000+(Q21+1000)*100000+O21*100+0</f>
        <v>100000000</v>
      </c>
      <c r="T21">
        <f t="shared" si="11"/>
        <v>0</v>
      </c>
      <c r="U21">
        <f t="shared" si="12"/>
        <v>0</v>
      </c>
      <c r="V21">
        <f t="shared" si="13"/>
        <v>0</v>
      </c>
      <c r="W21">
        <f>T21*1000000000+(U21+1000)*100000+V21*100+0</f>
        <v>100000000</v>
      </c>
    </row>
    <row r="22" spans="1:23" ht="15" customHeight="1" x14ac:dyDescent="0.2">
      <c r="A22" t="str">
        <f>Andata!P4</f>
        <v>Bologna</v>
      </c>
      <c r="B22" t="str">
        <f>IF(Andata!Q4="","",Andata!Q4)</f>
        <v/>
      </c>
      <c r="C22" t="str">
        <f>IF(Andata!R4="","",Andata!R4)</f>
        <v/>
      </c>
      <c r="D22" t="str">
        <f>Andata!S4</f>
        <v>Sassuolo</v>
      </c>
      <c r="E22" t="str">
        <f t="shared" si="0"/>
        <v/>
      </c>
      <c r="F22" t="str">
        <f t="shared" si="1"/>
        <v/>
      </c>
      <c r="G22">
        <f t="shared" si="2"/>
        <v>0</v>
      </c>
    </row>
    <row r="23" spans="1:23" ht="15" customHeight="1" x14ac:dyDescent="0.2">
      <c r="A23" t="str">
        <f>Andata!P5</f>
        <v>Cagliari</v>
      </c>
      <c r="B23" t="str">
        <f>IF(Andata!Q5="","",Andata!Q5)</f>
        <v/>
      </c>
      <c r="C23" t="str">
        <f>IF(Andata!R5="","",Andata!R5)</f>
        <v/>
      </c>
      <c r="D23" t="str">
        <f>Andata!S5</f>
        <v>Lecce</v>
      </c>
      <c r="E23" t="str">
        <f t="shared" si="0"/>
        <v/>
      </c>
      <c r="F23" t="str">
        <f t="shared" si="1"/>
        <v/>
      </c>
      <c r="G23">
        <f t="shared" si="2"/>
        <v>0</v>
      </c>
    </row>
    <row r="24" spans="1:23" ht="15" customHeight="1" x14ac:dyDescent="0.2">
      <c r="A24" t="str">
        <f>Andata!P6</f>
        <v>Fiorentina</v>
      </c>
      <c r="B24" t="str">
        <f>IF(Andata!Q6="","",Andata!Q6)</f>
        <v/>
      </c>
      <c r="C24" t="str">
        <f>IF(Andata!R6="","",Andata!R6)</f>
        <v/>
      </c>
      <c r="D24" t="str">
        <f>Andata!S6</f>
        <v>Torino</v>
      </c>
      <c r="E24" t="str">
        <f t="shared" si="0"/>
        <v/>
      </c>
      <c r="F24" t="str">
        <f t="shared" si="1"/>
        <v/>
      </c>
      <c r="G24">
        <f t="shared" si="2"/>
        <v>0</v>
      </c>
    </row>
    <row r="25" spans="1:23" ht="15" customHeight="1" x14ac:dyDescent="0.2">
      <c r="A25" t="str">
        <f>Andata!P7</f>
        <v>Frosinone</v>
      </c>
      <c r="B25" t="str">
        <f>IF(Andata!Q7="","",Andata!Q7)</f>
        <v/>
      </c>
      <c r="C25" t="str">
        <f>IF(Andata!R7="","",Andata!R7)</f>
        <v/>
      </c>
      <c r="D25" t="str">
        <f>Andata!S7</f>
        <v>Venezia</v>
      </c>
      <c r="E25" t="str">
        <f t="shared" si="0"/>
        <v/>
      </c>
      <c r="F25" t="str">
        <f t="shared" si="1"/>
        <v/>
      </c>
      <c r="G25">
        <f t="shared" si="2"/>
        <v>0</v>
      </c>
    </row>
    <row r="26" spans="1:23" ht="15" customHeight="1" x14ac:dyDescent="0.2">
      <c r="A26" t="str">
        <f>Andata!P8</f>
        <v>Genoa</v>
      </c>
      <c r="B26" t="str">
        <f>IF(Andata!Q8="","",Andata!Q8)</f>
        <v/>
      </c>
      <c r="C26" t="str">
        <f>IF(Andata!R8="","",Andata!R8)</f>
        <v/>
      </c>
      <c r="D26" t="str">
        <f>Andata!S8</f>
        <v>Como</v>
      </c>
      <c r="E26" t="str">
        <f t="shared" si="0"/>
        <v/>
      </c>
      <c r="F26" t="str">
        <f t="shared" si="1"/>
        <v/>
      </c>
      <c r="G26">
        <f t="shared" si="2"/>
        <v>0</v>
      </c>
    </row>
    <row r="27" spans="1:23" ht="15" customHeight="1" x14ac:dyDescent="0.2">
      <c r="A27" t="str">
        <f>Andata!P9</f>
        <v>Inter</v>
      </c>
      <c r="B27" t="str">
        <f>IF(Andata!Q9="","",Andata!Q9)</f>
        <v/>
      </c>
      <c r="C27" t="str">
        <f>IF(Andata!R9="","",Andata!R9)</f>
        <v/>
      </c>
      <c r="D27" t="str">
        <f>Andata!S9</f>
        <v>Napoli</v>
      </c>
      <c r="E27" t="str">
        <f t="shared" si="0"/>
        <v/>
      </c>
      <c r="F27" t="str">
        <f t="shared" si="1"/>
        <v/>
      </c>
      <c r="G27">
        <f t="shared" si="2"/>
        <v>0</v>
      </c>
    </row>
    <row r="28" spans="1:23" ht="15" customHeight="1" x14ac:dyDescent="0.2">
      <c r="A28" t="str">
        <f>Andata!P10</f>
        <v>Juventus</v>
      </c>
      <c r="B28" t="str">
        <f>IF(Andata!Q10="","",Andata!Q10)</f>
        <v/>
      </c>
      <c r="C28" t="str">
        <f>IF(Andata!R10="","",Andata!R10)</f>
        <v/>
      </c>
      <c r="D28" t="str">
        <f>Andata!S10</f>
        <v>Milan</v>
      </c>
      <c r="E28" t="str">
        <f t="shared" si="0"/>
        <v/>
      </c>
      <c r="F28" t="str">
        <f t="shared" si="1"/>
        <v/>
      </c>
      <c r="G28">
        <f t="shared" si="2"/>
        <v>0</v>
      </c>
    </row>
    <row r="29" spans="1:23" ht="15" customHeight="1" x14ac:dyDescent="0.2">
      <c r="A29" t="str">
        <f>Andata!P11</f>
        <v>Parma</v>
      </c>
      <c r="B29" t="str">
        <f>IF(Andata!Q11="","",Andata!Q11)</f>
        <v/>
      </c>
      <c r="C29" t="str">
        <f>IF(Andata!R11="","",Andata!R11)</f>
        <v/>
      </c>
      <c r="D29" t="str">
        <f>Andata!S11</f>
        <v>Monza</v>
      </c>
      <c r="E29" t="str">
        <f t="shared" si="0"/>
        <v/>
      </c>
      <c r="F29" t="str">
        <f t="shared" si="1"/>
        <v/>
      </c>
      <c r="G29">
        <f t="shared" si="2"/>
        <v>0</v>
      </c>
    </row>
    <row r="30" spans="1:23" ht="15" customHeight="1" x14ac:dyDescent="0.2">
      <c r="A30" t="str">
        <f>Andata!P12</f>
        <v>Roma</v>
      </c>
      <c r="B30" t="str">
        <f>IF(Andata!Q12="","",Andata!Q12)</f>
        <v/>
      </c>
      <c r="C30" t="str">
        <f>IF(Andata!R12="","",Andata!R12)</f>
        <v/>
      </c>
      <c r="D30" t="str">
        <f>Andata!S12</f>
        <v>Atalanta</v>
      </c>
      <c r="E30" t="str">
        <f t="shared" si="0"/>
        <v/>
      </c>
      <c r="F30" t="str">
        <f t="shared" si="1"/>
        <v/>
      </c>
      <c r="G30">
        <f t="shared" si="2"/>
        <v>0</v>
      </c>
    </row>
    <row r="31" spans="1:23" ht="15" customHeight="1" x14ac:dyDescent="0.2">
      <c r="A31" t="str">
        <f>Andata!P13</f>
        <v>Udinese</v>
      </c>
      <c r="B31" t="str">
        <f>IF(Andata!Q13="","",Andata!Q13)</f>
        <v/>
      </c>
      <c r="C31" t="str">
        <f>IF(Andata!R13="","",Andata!R13)</f>
        <v/>
      </c>
      <c r="D31" t="str">
        <f>Andata!S13</f>
        <v>Lazio</v>
      </c>
      <c r="E31" t="str">
        <f t="shared" si="0"/>
        <v/>
      </c>
      <c r="F31" t="str">
        <f t="shared" si="1"/>
        <v/>
      </c>
      <c r="G31">
        <f t="shared" si="2"/>
        <v>0</v>
      </c>
    </row>
    <row r="32" spans="1:23" ht="15" customHeight="1" x14ac:dyDescent="0.2">
      <c r="A32" t="str">
        <f>Andata!V4</f>
        <v>Atalanta</v>
      </c>
      <c r="B32" t="str">
        <f>IF(Andata!W4="","",Andata!W4)</f>
        <v/>
      </c>
      <c r="C32" t="str">
        <f>IF(Andata!X4="","",Andata!X4)</f>
        <v/>
      </c>
      <c r="D32" t="str">
        <f>Andata!Y4</f>
        <v>Cagliari</v>
      </c>
      <c r="E32" t="str">
        <f t="shared" si="0"/>
        <v/>
      </c>
      <c r="F32" t="str">
        <f t="shared" si="1"/>
        <v/>
      </c>
      <c r="G32">
        <f t="shared" si="2"/>
        <v>0</v>
      </c>
    </row>
    <row r="33" spans="1:7" ht="15" customHeight="1" x14ac:dyDescent="0.2">
      <c r="A33" t="str">
        <f>Andata!V5</f>
        <v>Como</v>
      </c>
      <c r="B33" t="str">
        <f>IF(Andata!W5="","",Andata!W5)</f>
        <v/>
      </c>
      <c r="C33" t="str">
        <f>IF(Andata!X5="","",Andata!X5)</f>
        <v/>
      </c>
      <c r="D33" t="str">
        <f>Andata!Y5</f>
        <v>Parma</v>
      </c>
      <c r="E33" t="str">
        <f t="shared" si="0"/>
        <v/>
      </c>
      <c r="F33" t="str">
        <f t="shared" si="1"/>
        <v/>
      </c>
      <c r="G33">
        <f t="shared" si="2"/>
        <v>0</v>
      </c>
    </row>
    <row r="34" spans="1:7" ht="15" customHeight="1" x14ac:dyDescent="0.2">
      <c r="A34" t="str">
        <f>Andata!V6</f>
        <v>Genoa</v>
      </c>
      <c r="B34" t="str">
        <f>IF(Andata!W6="","",Andata!W6)</f>
        <v/>
      </c>
      <c r="C34" t="str">
        <f>IF(Andata!X6="","",Andata!X6)</f>
        <v/>
      </c>
      <c r="D34" t="str">
        <f>Andata!Y6</f>
        <v>Frosinone</v>
      </c>
      <c r="E34" t="str">
        <f t="shared" si="0"/>
        <v/>
      </c>
      <c r="F34" t="str">
        <f t="shared" si="1"/>
        <v/>
      </c>
      <c r="G34">
        <f t="shared" si="2"/>
        <v>0</v>
      </c>
    </row>
    <row r="35" spans="1:7" ht="15" customHeight="1" x14ac:dyDescent="0.2">
      <c r="A35" t="str">
        <f>Andata!V7</f>
        <v>Inter</v>
      </c>
      <c r="B35" t="str">
        <f>IF(Andata!W7="","",Andata!W7)</f>
        <v/>
      </c>
      <c r="C35" t="str">
        <f>IF(Andata!X7="","",Andata!X7)</f>
        <v/>
      </c>
      <c r="D35" t="str">
        <f>Andata!Y7</f>
        <v>Udinese</v>
      </c>
      <c r="E35" t="str">
        <f t="shared" si="0"/>
        <v/>
      </c>
      <c r="F35" t="str">
        <f t="shared" si="1"/>
        <v/>
      </c>
      <c r="G35">
        <f t="shared" si="2"/>
        <v>0</v>
      </c>
    </row>
    <row r="36" spans="1:7" ht="15" customHeight="1" x14ac:dyDescent="0.2">
      <c r="A36" t="str">
        <f>Andata!V8</f>
        <v>Lazio</v>
      </c>
      <c r="B36" t="str">
        <f>IF(Andata!W8="","",Andata!W8)</f>
        <v/>
      </c>
      <c r="C36" t="str">
        <f>IF(Andata!X8="","",Andata!X8)</f>
        <v/>
      </c>
      <c r="D36" t="str">
        <f>Andata!Y8</f>
        <v>Milan</v>
      </c>
      <c r="E36" t="str">
        <f t="shared" si="0"/>
        <v/>
      </c>
      <c r="F36" t="str">
        <f t="shared" si="1"/>
        <v/>
      </c>
      <c r="G36">
        <f t="shared" si="2"/>
        <v>0</v>
      </c>
    </row>
    <row r="37" spans="1:7" ht="15" customHeight="1" x14ac:dyDescent="0.2">
      <c r="A37" t="str">
        <f>Andata!V9</f>
        <v>Lecce</v>
      </c>
      <c r="B37" t="str">
        <f>IF(Andata!W9="","",Andata!W9)</f>
        <v/>
      </c>
      <c r="C37" t="str">
        <f>IF(Andata!X9="","",Andata!X9)</f>
        <v/>
      </c>
      <c r="D37" t="str">
        <f>Andata!Y9</f>
        <v>Monza</v>
      </c>
      <c r="E37" t="str">
        <f t="shared" si="0"/>
        <v/>
      </c>
      <c r="F37" t="str">
        <f t="shared" si="1"/>
        <v/>
      </c>
      <c r="G37">
        <f t="shared" si="2"/>
        <v>0</v>
      </c>
    </row>
    <row r="38" spans="1:7" ht="15" customHeight="1" x14ac:dyDescent="0.2">
      <c r="A38" t="str">
        <f>Andata!V10</f>
        <v>Napoli</v>
      </c>
      <c r="B38" t="str">
        <f>IF(Andata!W10="","",Andata!W10)</f>
        <v/>
      </c>
      <c r="C38" t="str">
        <f>IF(Andata!X10="","",Andata!X10)</f>
        <v/>
      </c>
      <c r="D38" t="str">
        <f>Andata!Y10</f>
        <v>Bologna</v>
      </c>
      <c r="E38" t="str">
        <f t="shared" si="0"/>
        <v/>
      </c>
      <c r="F38" t="str">
        <f t="shared" si="1"/>
        <v/>
      </c>
      <c r="G38">
        <f t="shared" si="2"/>
        <v>0</v>
      </c>
    </row>
    <row r="39" spans="1:7" ht="15" customHeight="1" x14ac:dyDescent="0.2">
      <c r="A39" t="str">
        <f>Andata!V11</f>
        <v>Sassuolo</v>
      </c>
      <c r="B39" t="str">
        <f>IF(Andata!W11="","",Andata!W11)</f>
        <v/>
      </c>
      <c r="C39" t="str">
        <f>IF(Andata!X11="","",Andata!X11)</f>
        <v/>
      </c>
      <c r="D39" t="str">
        <f>Andata!Y11</f>
        <v>Juventus</v>
      </c>
      <c r="E39" t="str">
        <f t="shared" si="0"/>
        <v/>
      </c>
      <c r="F39" t="str">
        <f t="shared" si="1"/>
        <v/>
      </c>
      <c r="G39">
        <f t="shared" si="2"/>
        <v>0</v>
      </c>
    </row>
    <row r="40" spans="1:7" ht="15" customHeight="1" x14ac:dyDescent="0.2">
      <c r="A40" t="str">
        <f>Andata!V12</f>
        <v>Torino</v>
      </c>
      <c r="B40" t="str">
        <f>IF(Andata!W12="","",Andata!W12)</f>
        <v/>
      </c>
      <c r="C40" t="str">
        <f>IF(Andata!X12="","",Andata!X12)</f>
        <v/>
      </c>
      <c r="D40" t="str">
        <f>Andata!Y12</f>
        <v>Roma</v>
      </c>
      <c r="E40" t="str">
        <f t="shared" si="0"/>
        <v/>
      </c>
      <c r="F40" t="str">
        <f t="shared" si="1"/>
        <v/>
      </c>
      <c r="G40">
        <f t="shared" si="2"/>
        <v>0</v>
      </c>
    </row>
    <row r="41" spans="1:7" ht="15" customHeight="1" x14ac:dyDescent="0.2">
      <c r="A41" t="str">
        <f>Andata!V13</f>
        <v>Venezia</v>
      </c>
      <c r="B41" t="str">
        <f>IF(Andata!W13="","",Andata!W13)</f>
        <v/>
      </c>
      <c r="C41" t="str">
        <f>IF(Andata!X13="","",Andata!X13)</f>
        <v/>
      </c>
      <c r="D41" t="str">
        <f>Andata!Y13</f>
        <v>Fiorentina</v>
      </c>
      <c r="E41" t="str">
        <f t="shared" si="0"/>
        <v/>
      </c>
      <c r="F41" t="str">
        <f t="shared" si="1"/>
        <v/>
      </c>
      <c r="G41">
        <f t="shared" si="2"/>
        <v>0</v>
      </c>
    </row>
    <row r="42" spans="1:7" ht="15" customHeight="1" x14ac:dyDescent="0.2">
      <c r="A42" t="str">
        <f>Andata!A18</f>
        <v>Bologna</v>
      </c>
      <c r="B42" t="str">
        <f>IF(Andata!B18="","",Andata!B18)</f>
        <v/>
      </c>
      <c r="C42" t="str">
        <f>IF(Andata!C18="","",Andata!C18)</f>
        <v/>
      </c>
      <c r="D42" t="str">
        <f>Andata!D18</f>
        <v>Torino</v>
      </c>
      <c r="E42" t="str">
        <f t="shared" si="0"/>
        <v/>
      </c>
      <c r="F42" t="str">
        <f t="shared" si="1"/>
        <v/>
      </c>
      <c r="G42">
        <f t="shared" si="2"/>
        <v>0</v>
      </c>
    </row>
    <row r="43" spans="1:7" ht="15" customHeight="1" x14ac:dyDescent="0.2">
      <c r="A43" t="str">
        <f>Andata!A19</f>
        <v>Fiorentina</v>
      </c>
      <c r="B43" t="str">
        <f>IF(Andata!B19="","",Andata!B19)</f>
        <v/>
      </c>
      <c r="C43" t="str">
        <f>IF(Andata!C19="","",Andata!C19)</f>
        <v/>
      </c>
      <c r="D43" t="str">
        <f>Andata!D19</f>
        <v>Napoli</v>
      </c>
      <c r="E43" t="str">
        <f t="shared" si="0"/>
        <v/>
      </c>
      <c r="F43" t="str">
        <f t="shared" si="1"/>
        <v/>
      </c>
      <c r="G43">
        <f t="shared" si="2"/>
        <v>0</v>
      </c>
    </row>
    <row r="44" spans="1:7" ht="15" customHeight="1" x14ac:dyDescent="0.2">
      <c r="A44" t="str">
        <f>Andata!A20</f>
        <v>Frosinone</v>
      </c>
      <c r="B44" t="str">
        <f>IF(Andata!B20="","",Andata!B20)</f>
        <v/>
      </c>
      <c r="C44" t="str">
        <f>IF(Andata!C20="","",Andata!C20)</f>
        <v/>
      </c>
      <c r="D44" t="str">
        <f>Andata!D20</f>
        <v>Como</v>
      </c>
      <c r="E44" t="str">
        <f t="shared" si="0"/>
        <v/>
      </c>
      <c r="F44" t="str">
        <f t="shared" si="1"/>
        <v/>
      </c>
      <c r="G44">
        <f t="shared" si="2"/>
        <v>0</v>
      </c>
    </row>
    <row r="45" spans="1:7" ht="15" customHeight="1" x14ac:dyDescent="0.2">
      <c r="A45" t="str">
        <f>Andata!A21</f>
        <v>Juventus</v>
      </c>
      <c r="B45" t="str">
        <f>IF(Andata!B21="","",Andata!B21)</f>
        <v/>
      </c>
      <c r="C45" t="str">
        <f>IF(Andata!C21="","",Andata!C21)</f>
        <v/>
      </c>
      <c r="D45" t="str">
        <f>Andata!D21</f>
        <v>Atalanta</v>
      </c>
      <c r="E45" t="str">
        <f t="shared" si="0"/>
        <v/>
      </c>
      <c r="F45" t="str">
        <f t="shared" si="1"/>
        <v/>
      </c>
      <c r="G45">
        <f t="shared" si="2"/>
        <v>0</v>
      </c>
    </row>
    <row r="46" spans="1:7" ht="15" customHeight="1" x14ac:dyDescent="0.2">
      <c r="A46" t="str">
        <f>Andata!A22</f>
        <v>Milan</v>
      </c>
      <c r="B46" t="str">
        <f>IF(Andata!B22="","",Andata!B22)</f>
        <v/>
      </c>
      <c r="C46" t="str">
        <f>IF(Andata!C22="","",Andata!C22)</f>
        <v/>
      </c>
      <c r="D46" t="str">
        <f>Andata!D22</f>
        <v>Lecce</v>
      </c>
      <c r="E46" t="str">
        <f t="shared" si="0"/>
        <v/>
      </c>
      <c r="F46" t="str">
        <f t="shared" si="1"/>
        <v/>
      </c>
      <c r="G46">
        <f t="shared" si="2"/>
        <v>0</v>
      </c>
    </row>
    <row r="47" spans="1:7" ht="15" customHeight="1" x14ac:dyDescent="0.2">
      <c r="A47" t="str">
        <f>Andata!A23</f>
        <v>Monza</v>
      </c>
      <c r="B47" t="str">
        <f>IF(Andata!B23="","",Andata!B23)</f>
        <v/>
      </c>
      <c r="C47" t="str">
        <f>IF(Andata!C23="","",Andata!C23)</f>
        <v/>
      </c>
      <c r="D47" t="str">
        <f>Andata!D23</f>
        <v>Sassuolo</v>
      </c>
      <c r="E47" t="str">
        <f t="shared" si="0"/>
        <v/>
      </c>
      <c r="F47" t="str">
        <f t="shared" si="1"/>
        <v/>
      </c>
      <c r="G47">
        <f t="shared" si="2"/>
        <v>0</v>
      </c>
    </row>
    <row r="48" spans="1:7" ht="15" customHeight="1" x14ac:dyDescent="0.2">
      <c r="A48" t="str">
        <f>Andata!A24</f>
        <v>Parma</v>
      </c>
      <c r="B48" t="str">
        <f>IF(Andata!B24="","",Andata!B24)</f>
        <v/>
      </c>
      <c r="C48" t="str">
        <f>IF(Andata!C24="","",Andata!C24)</f>
        <v/>
      </c>
      <c r="D48" t="str">
        <f>Andata!D24</f>
        <v>Genoa</v>
      </c>
      <c r="E48" t="str">
        <f t="shared" si="0"/>
        <v/>
      </c>
      <c r="F48" t="str">
        <f t="shared" si="1"/>
        <v/>
      </c>
      <c r="G48">
        <f t="shared" si="2"/>
        <v>0</v>
      </c>
    </row>
    <row r="49" spans="1:7" ht="15" customHeight="1" x14ac:dyDescent="0.2">
      <c r="A49" t="str">
        <f>Andata!A25</f>
        <v>Roma</v>
      </c>
      <c r="B49" t="str">
        <f>IF(Andata!B25="","",Andata!B25)</f>
        <v/>
      </c>
      <c r="C49" t="str">
        <f>IF(Andata!C25="","",Andata!C25)</f>
        <v/>
      </c>
      <c r="D49" t="str">
        <f>Andata!D25</f>
        <v>Inter</v>
      </c>
      <c r="E49" t="str">
        <f t="shared" si="0"/>
        <v/>
      </c>
      <c r="F49" t="str">
        <f t="shared" si="1"/>
        <v/>
      </c>
      <c r="G49">
        <f t="shared" si="2"/>
        <v>0</v>
      </c>
    </row>
    <row r="50" spans="1:7" ht="15" customHeight="1" x14ac:dyDescent="0.2">
      <c r="A50" t="str">
        <f>Andata!A26</f>
        <v>Udinese</v>
      </c>
      <c r="B50" t="str">
        <f>IF(Andata!B26="","",Andata!B26)</f>
        <v/>
      </c>
      <c r="C50" t="str">
        <f>IF(Andata!C26="","",Andata!C26)</f>
        <v/>
      </c>
      <c r="D50" t="str">
        <f>Andata!D26</f>
        <v>Cagliari</v>
      </c>
      <c r="E50" t="str">
        <f t="shared" si="0"/>
        <v/>
      </c>
      <c r="F50" t="str">
        <f t="shared" si="1"/>
        <v/>
      </c>
      <c r="G50">
        <f t="shared" si="2"/>
        <v>0</v>
      </c>
    </row>
    <row r="51" spans="1:7" ht="15" customHeight="1" x14ac:dyDescent="0.2">
      <c r="A51" t="str">
        <f>Andata!A27</f>
        <v>Venezia</v>
      </c>
      <c r="B51" t="str">
        <f>IF(Andata!B27="","",Andata!B27)</f>
        <v/>
      </c>
      <c r="C51" t="str">
        <f>IF(Andata!C27="","",Andata!C27)</f>
        <v/>
      </c>
      <c r="D51" t="str">
        <f>Andata!D27</f>
        <v>Lazio</v>
      </c>
      <c r="E51" t="str">
        <f t="shared" si="0"/>
        <v/>
      </c>
      <c r="F51" t="str">
        <f t="shared" si="1"/>
        <v/>
      </c>
      <c r="G51">
        <f t="shared" si="2"/>
        <v>0</v>
      </c>
    </row>
    <row r="52" spans="1:7" ht="15" customHeight="1" x14ac:dyDescent="0.2">
      <c r="A52" t="str">
        <f>Andata!G18</f>
        <v>Atalanta</v>
      </c>
      <c r="B52" t="str">
        <f>IF(Andata!H18="","",Andata!H18)</f>
        <v/>
      </c>
      <c r="C52" t="str">
        <f>IF(Andata!I18="","",Andata!I18)</f>
        <v/>
      </c>
      <c r="D52" t="str">
        <f>Andata!J18</f>
        <v>Venezia</v>
      </c>
      <c r="E52" t="str">
        <f t="shared" si="0"/>
        <v/>
      </c>
      <c r="F52" t="str">
        <f t="shared" si="1"/>
        <v/>
      </c>
      <c r="G52">
        <f t="shared" si="2"/>
        <v>0</v>
      </c>
    </row>
    <row r="53" spans="1:7" ht="15" customHeight="1" x14ac:dyDescent="0.2">
      <c r="A53" t="str">
        <f>Andata!G19</f>
        <v>Cagliari</v>
      </c>
      <c r="B53" t="str">
        <f>IF(Andata!H19="","",Andata!H19)</f>
        <v/>
      </c>
      <c r="C53" t="str">
        <f>IF(Andata!I19="","",Andata!I19)</f>
        <v/>
      </c>
      <c r="D53" t="str">
        <f>Andata!J19</f>
        <v>Juventus</v>
      </c>
      <c r="E53" t="str">
        <f t="shared" si="0"/>
        <v/>
      </c>
      <c r="F53" t="str">
        <f t="shared" si="1"/>
        <v/>
      </c>
      <c r="G53">
        <f t="shared" si="2"/>
        <v>0</v>
      </c>
    </row>
    <row r="54" spans="1:7" ht="15" customHeight="1" x14ac:dyDescent="0.2">
      <c r="A54" t="str">
        <f>Andata!G20</f>
        <v>Como</v>
      </c>
      <c r="B54" t="str">
        <f>IF(Andata!H20="","",Andata!H20)</f>
        <v/>
      </c>
      <c r="C54" t="str">
        <f>IF(Andata!I20="","",Andata!I20)</f>
        <v/>
      </c>
      <c r="D54" t="str">
        <f>Andata!J20</f>
        <v>Roma</v>
      </c>
      <c r="E54" t="str">
        <f t="shared" si="0"/>
        <v/>
      </c>
      <c r="F54" t="str">
        <f t="shared" si="1"/>
        <v/>
      </c>
      <c r="G54">
        <f t="shared" si="2"/>
        <v>0</v>
      </c>
    </row>
    <row r="55" spans="1:7" ht="15" customHeight="1" x14ac:dyDescent="0.2">
      <c r="A55" t="str">
        <f>Andata!G21</f>
        <v>Genoa</v>
      </c>
      <c r="B55" t="str">
        <f>IF(Andata!H21="","",Andata!H21)</f>
        <v/>
      </c>
      <c r="C55" t="str">
        <f>IF(Andata!I21="","",Andata!I21)</f>
        <v/>
      </c>
      <c r="D55" t="str">
        <f>Andata!J21</f>
        <v>Fiorentina</v>
      </c>
      <c r="E55" t="str">
        <f t="shared" si="0"/>
        <v/>
      </c>
      <c r="F55" t="str">
        <f t="shared" si="1"/>
        <v/>
      </c>
      <c r="G55">
        <f t="shared" si="2"/>
        <v>0</v>
      </c>
    </row>
    <row r="56" spans="1:7" ht="15" customHeight="1" x14ac:dyDescent="0.2">
      <c r="A56" t="str">
        <f>Andata!G22</f>
        <v>Inter</v>
      </c>
      <c r="B56" t="str">
        <f>IF(Andata!H22="","",Andata!H22)</f>
        <v/>
      </c>
      <c r="C56" t="str">
        <f>IF(Andata!I22="","",Andata!I22)</f>
        <v/>
      </c>
      <c r="D56" t="str">
        <f>Andata!J22</f>
        <v>Parma</v>
      </c>
      <c r="E56" t="str">
        <f t="shared" si="0"/>
        <v/>
      </c>
      <c r="F56" t="str">
        <f t="shared" si="1"/>
        <v/>
      </c>
      <c r="G56">
        <f t="shared" si="2"/>
        <v>0</v>
      </c>
    </row>
    <row r="57" spans="1:7" ht="15" customHeight="1" x14ac:dyDescent="0.2">
      <c r="A57" t="str">
        <f>Andata!G23</f>
        <v>Lazio</v>
      </c>
      <c r="B57" t="str">
        <f>IF(Andata!H23="","",Andata!H23)</f>
        <v/>
      </c>
      <c r="C57" t="str">
        <f>IF(Andata!I23="","",Andata!I23)</f>
        <v/>
      </c>
      <c r="D57" t="str">
        <f>Andata!J23</f>
        <v>Monza</v>
      </c>
      <c r="E57" t="str">
        <f t="shared" si="0"/>
        <v/>
      </c>
      <c r="F57" t="str">
        <f t="shared" si="1"/>
        <v/>
      </c>
      <c r="G57">
        <f t="shared" si="2"/>
        <v>0</v>
      </c>
    </row>
    <row r="58" spans="1:7" ht="15" customHeight="1" x14ac:dyDescent="0.2">
      <c r="A58" t="str">
        <f>Andata!G24</f>
        <v>Lecce</v>
      </c>
      <c r="B58" t="str">
        <f>IF(Andata!H24="","",Andata!H24)</f>
        <v/>
      </c>
      <c r="C58" t="str">
        <f>IF(Andata!I24="","",Andata!I24)</f>
        <v/>
      </c>
      <c r="D58" t="str">
        <f>Andata!J24</f>
        <v>Bologna</v>
      </c>
      <c r="E58" t="str">
        <f t="shared" si="0"/>
        <v/>
      </c>
      <c r="F58" t="str">
        <f t="shared" si="1"/>
        <v/>
      </c>
      <c r="G58">
        <f t="shared" si="2"/>
        <v>0</v>
      </c>
    </row>
    <row r="59" spans="1:7" ht="15" customHeight="1" x14ac:dyDescent="0.2">
      <c r="A59" t="str">
        <f>Andata!G25</f>
        <v>Napoli</v>
      </c>
      <c r="B59" t="str">
        <f>IF(Andata!H25="","",Andata!H25)</f>
        <v/>
      </c>
      <c r="C59" t="str">
        <f>IF(Andata!I25="","",Andata!I25)</f>
        <v/>
      </c>
      <c r="D59" t="str">
        <f>Andata!J25</f>
        <v>Frosinone</v>
      </c>
      <c r="E59" t="str">
        <f t="shared" si="0"/>
        <v/>
      </c>
      <c r="F59" t="str">
        <f t="shared" si="1"/>
        <v/>
      </c>
      <c r="G59">
        <f t="shared" si="2"/>
        <v>0</v>
      </c>
    </row>
    <row r="60" spans="1:7" ht="15" customHeight="1" x14ac:dyDescent="0.2">
      <c r="A60" t="str">
        <f>Andata!G26</f>
        <v>Sassuolo</v>
      </c>
      <c r="B60" t="str">
        <f>IF(Andata!H26="","",Andata!H26)</f>
        <v/>
      </c>
      <c r="C60" t="str">
        <f>IF(Andata!I26="","",Andata!I26)</f>
        <v/>
      </c>
      <c r="D60" t="str">
        <f>Andata!J26</f>
        <v>Milan</v>
      </c>
      <c r="E60" t="str">
        <f t="shared" si="0"/>
        <v/>
      </c>
      <c r="F60" t="str">
        <f t="shared" si="1"/>
        <v/>
      </c>
      <c r="G60">
        <f t="shared" si="2"/>
        <v>0</v>
      </c>
    </row>
    <row r="61" spans="1:7" ht="15" customHeight="1" x14ac:dyDescent="0.2">
      <c r="A61" t="str">
        <f>Andata!G27</f>
        <v>Torino</v>
      </c>
      <c r="B61" t="str">
        <f>IF(Andata!H27="","",Andata!H27)</f>
        <v/>
      </c>
      <c r="C61" t="str">
        <f>IF(Andata!I27="","",Andata!I27)</f>
        <v/>
      </c>
      <c r="D61" t="str">
        <f>Andata!J27</f>
        <v>Udinese</v>
      </c>
      <c r="E61" t="str">
        <f t="shared" si="0"/>
        <v/>
      </c>
      <c r="F61" t="str">
        <f t="shared" si="1"/>
        <v/>
      </c>
      <c r="G61">
        <f t="shared" si="2"/>
        <v>0</v>
      </c>
    </row>
    <row r="62" spans="1:7" ht="15" customHeight="1" x14ac:dyDescent="0.2">
      <c r="A62" t="str">
        <f>Andata!M18</f>
        <v>Bologna</v>
      </c>
      <c r="B62" t="str">
        <f>IF(Andata!N18="","",Andata!N18)</f>
        <v/>
      </c>
      <c r="C62" t="str">
        <f>IF(Andata!O18="","",Andata!O18)</f>
        <v/>
      </c>
      <c r="D62" t="str">
        <f>Andata!P18</f>
        <v>Inter</v>
      </c>
      <c r="E62" t="str">
        <f t="shared" si="0"/>
        <v/>
      </c>
      <c r="F62" t="str">
        <f t="shared" si="1"/>
        <v/>
      </c>
      <c r="G62">
        <f t="shared" si="2"/>
        <v>0</v>
      </c>
    </row>
    <row r="63" spans="1:7" ht="15" customHeight="1" x14ac:dyDescent="0.2">
      <c r="A63" t="str">
        <f>Andata!M19</f>
        <v>Fiorentina</v>
      </c>
      <c r="B63" t="str">
        <f>IF(Andata!N19="","",Andata!N19)</f>
        <v/>
      </c>
      <c r="C63" t="str">
        <f>IF(Andata!O19="","",Andata!O19)</f>
        <v/>
      </c>
      <c r="D63" t="str">
        <f>Andata!P19</f>
        <v>Como</v>
      </c>
      <c r="E63" t="str">
        <f t="shared" si="0"/>
        <v/>
      </c>
      <c r="F63" t="str">
        <f t="shared" si="1"/>
        <v/>
      </c>
      <c r="G63">
        <f t="shared" si="2"/>
        <v>0</v>
      </c>
    </row>
    <row r="64" spans="1:7" ht="15" customHeight="1" x14ac:dyDescent="0.2">
      <c r="A64" t="str">
        <f>Andata!M20</f>
        <v>Frosinone</v>
      </c>
      <c r="B64" t="str">
        <f>IF(Andata!N20="","",Andata!N20)</f>
        <v/>
      </c>
      <c r="C64" t="str">
        <f>IF(Andata!O20="","",Andata!O20)</f>
        <v/>
      </c>
      <c r="D64" t="str">
        <f>Andata!P20</f>
        <v>Sassuolo</v>
      </c>
      <c r="E64" t="str">
        <f t="shared" si="0"/>
        <v/>
      </c>
      <c r="F64" t="str">
        <f t="shared" si="1"/>
        <v/>
      </c>
      <c r="G64">
        <f t="shared" si="2"/>
        <v>0</v>
      </c>
    </row>
    <row r="65" spans="1:7" ht="15" customHeight="1" x14ac:dyDescent="0.2">
      <c r="A65" t="str">
        <f>Andata!M21</f>
        <v>Juventus</v>
      </c>
      <c r="B65" t="str">
        <f>IF(Andata!N21="","",Andata!N21)</f>
        <v/>
      </c>
      <c r="C65" t="str">
        <f>IF(Andata!O21="","",Andata!O21)</f>
        <v/>
      </c>
      <c r="D65" t="str">
        <f>Andata!P21</f>
        <v>Lazio</v>
      </c>
      <c r="E65" t="str">
        <f t="shared" si="0"/>
        <v/>
      </c>
      <c r="F65" t="str">
        <f t="shared" si="1"/>
        <v/>
      </c>
      <c r="G65">
        <f t="shared" si="2"/>
        <v>0</v>
      </c>
    </row>
    <row r="66" spans="1:7" ht="15" customHeight="1" x14ac:dyDescent="0.2">
      <c r="A66" t="str">
        <f>Andata!M22</f>
        <v>Milan</v>
      </c>
      <c r="B66" t="str">
        <f>IF(Andata!N22="","",Andata!N22)</f>
        <v/>
      </c>
      <c r="C66" t="str">
        <f>IF(Andata!O22="","",Andata!O22)</f>
        <v/>
      </c>
      <c r="D66" t="str">
        <f>Andata!P22</f>
        <v>Atalanta</v>
      </c>
      <c r="E66" t="str">
        <f t="shared" ref="E66:E129" si="14">IF(OR(B66="",C66=""),"",IF(B66&gt;C66,3,IF(B66=C66,1,0)))</f>
        <v/>
      </c>
      <c r="F66" t="str">
        <f t="shared" ref="F66:F129" si="15">IF(OR(B66="",C66=""),"",IF(C66&gt;B66,3,IF(B66=C66,1,0)))</f>
        <v/>
      </c>
      <c r="G66">
        <f t="shared" ref="G66:G129" si="16">IF(OR(B66="",C66=""),0,1)</f>
        <v>0</v>
      </c>
    </row>
    <row r="67" spans="1:7" ht="15" customHeight="1" x14ac:dyDescent="0.2">
      <c r="A67" t="str">
        <f>Andata!M23</f>
        <v>Monza</v>
      </c>
      <c r="B67" t="str">
        <f>IF(Andata!N23="","",Andata!N23)</f>
        <v/>
      </c>
      <c r="C67" t="str">
        <f>IF(Andata!O23="","",Andata!O23)</f>
        <v/>
      </c>
      <c r="D67" t="str">
        <f>Andata!P23</f>
        <v>Cagliari</v>
      </c>
      <c r="E67" t="str">
        <f t="shared" si="14"/>
        <v/>
      </c>
      <c r="F67" t="str">
        <f t="shared" si="15"/>
        <v/>
      </c>
      <c r="G67">
        <f t="shared" si="16"/>
        <v>0</v>
      </c>
    </row>
    <row r="68" spans="1:7" ht="15" customHeight="1" x14ac:dyDescent="0.2">
      <c r="A68" t="str">
        <f>Andata!M24</f>
        <v>Parma</v>
      </c>
      <c r="B68" t="str">
        <f>IF(Andata!N24="","",Andata!N24)</f>
        <v/>
      </c>
      <c r="C68" t="str">
        <f>IF(Andata!O24="","",Andata!O24)</f>
        <v/>
      </c>
      <c r="D68" t="str">
        <f>Andata!P24</f>
        <v>Torino</v>
      </c>
      <c r="E68" t="str">
        <f t="shared" si="14"/>
        <v/>
      </c>
      <c r="F68" t="str">
        <f t="shared" si="15"/>
        <v/>
      </c>
      <c r="G68">
        <f t="shared" si="16"/>
        <v>0</v>
      </c>
    </row>
    <row r="69" spans="1:7" ht="15" customHeight="1" x14ac:dyDescent="0.2">
      <c r="A69" t="str">
        <f>Andata!M25</f>
        <v>Roma</v>
      </c>
      <c r="B69" t="str">
        <f>IF(Andata!N25="","",Andata!N25)</f>
        <v/>
      </c>
      <c r="C69" t="str">
        <f>IF(Andata!O25="","",Andata!O25)</f>
        <v/>
      </c>
      <c r="D69" t="str">
        <f>Andata!P25</f>
        <v>Genoa</v>
      </c>
      <c r="E69" t="str">
        <f t="shared" si="14"/>
        <v/>
      </c>
      <c r="F69" t="str">
        <f t="shared" si="15"/>
        <v/>
      </c>
      <c r="G69">
        <f t="shared" si="16"/>
        <v>0</v>
      </c>
    </row>
    <row r="70" spans="1:7" ht="15" customHeight="1" x14ac:dyDescent="0.2">
      <c r="A70" t="str">
        <f>Andata!M26</f>
        <v>Udinese</v>
      </c>
      <c r="B70" t="str">
        <f>IF(Andata!N26="","",Andata!N26)</f>
        <v/>
      </c>
      <c r="C70" t="str">
        <f>IF(Andata!O26="","",Andata!O26)</f>
        <v/>
      </c>
      <c r="D70" t="str">
        <f>Andata!P26</f>
        <v>Lecce</v>
      </c>
      <c r="E70" t="str">
        <f t="shared" si="14"/>
        <v/>
      </c>
      <c r="F70" t="str">
        <f t="shared" si="15"/>
        <v/>
      </c>
      <c r="G70">
        <f t="shared" si="16"/>
        <v>0</v>
      </c>
    </row>
    <row r="71" spans="1:7" ht="15" customHeight="1" x14ac:dyDescent="0.2">
      <c r="A71" t="str">
        <f>Andata!M27</f>
        <v>Venezia</v>
      </c>
      <c r="B71" t="str">
        <f>IF(Andata!N27="","",Andata!N27)</f>
        <v/>
      </c>
      <c r="C71" t="str">
        <f>IF(Andata!O27="","",Andata!O27)</f>
        <v/>
      </c>
      <c r="D71" t="str">
        <f>Andata!P27</f>
        <v>Napoli</v>
      </c>
      <c r="E71" t="str">
        <f t="shared" si="14"/>
        <v/>
      </c>
      <c r="F71" t="str">
        <f t="shared" si="15"/>
        <v/>
      </c>
      <c r="G71">
        <f t="shared" si="16"/>
        <v>0</v>
      </c>
    </row>
    <row r="72" spans="1:7" ht="15" customHeight="1" x14ac:dyDescent="0.2">
      <c r="A72" t="str">
        <f>Andata!S18</f>
        <v>Atalanta</v>
      </c>
      <c r="B72" t="str">
        <f>IF(Andata!T18="","",Andata!T18)</f>
        <v/>
      </c>
      <c r="C72" t="str">
        <f>IF(Andata!U18="","",Andata!U18)</f>
        <v/>
      </c>
      <c r="D72" t="str">
        <f>Andata!V18</f>
        <v>Frosinone</v>
      </c>
      <c r="E72" t="str">
        <f t="shared" si="14"/>
        <v/>
      </c>
      <c r="F72" t="str">
        <f t="shared" si="15"/>
        <v/>
      </c>
      <c r="G72">
        <f t="shared" si="16"/>
        <v>0</v>
      </c>
    </row>
    <row r="73" spans="1:7" ht="15" customHeight="1" x14ac:dyDescent="0.2">
      <c r="A73" t="str">
        <f>Andata!S19</f>
        <v>Cagliari</v>
      </c>
      <c r="B73" t="str">
        <f>IF(Andata!T19="","",Andata!T19)</f>
        <v/>
      </c>
      <c r="C73" t="str">
        <f>IF(Andata!U19="","",Andata!U19)</f>
        <v/>
      </c>
      <c r="D73" t="str">
        <f>Andata!V19</f>
        <v>Bologna</v>
      </c>
      <c r="E73" t="str">
        <f t="shared" si="14"/>
        <v/>
      </c>
      <c r="F73" t="str">
        <f t="shared" si="15"/>
        <v/>
      </c>
      <c r="G73">
        <f t="shared" si="16"/>
        <v>0</v>
      </c>
    </row>
    <row r="74" spans="1:7" ht="15" customHeight="1" x14ac:dyDescent="0.2">
      <c r="A74" t="str">
        <f>Andata!S20</f>
        <v>Como</v>
      </c>
      <c r="B74" t="str">
        <f>IF(Andata!T20="","",Andata!T20)</f>
        <v/>
      </c>
      <c r="C74" t="str">
        <f>IF(Andata!U20="","",Andata!U20)</f>
        <v/>
      </c>
      <c r="D74" t="str">
        <f>Andata!V20</f>
        <v>Sassuolo</v>
      </c>
      <c r="E74" t="str">
        <f t="shared" si="14"/>
        <v/>
      </c>
      <c r="F74" t="str">
        <f t="shared" si="15"/>
        <v/>
      </c>
      <c r="G74">
        <f t="shared" si="16"/>
        <v>0</v>
      </c>
    </row>
    <row r="75" spans="1:7" ht="15" customHeight="1" x14ac:dyDescent="0.2">
      <c r="A75" t="str">
        <f>Andata!S21</f>
        <v>Genoa</v>
      </c>
      <c r="B75" t="str">
        <f>IF(Andata!T21="","",Andata!T21)</f>
        <v/>
      </c>
      <c r="C75" t="str">
        <f>IF(Andata!U21="","",Andata!U21)</f>
        <v/>
      </c>
      <c r="D75" t="str">
        <f>Andata!V21</f>
        <v>Venezia</v>
      </c>
      <c r="E75" t="str">
        <f t="shared" si="14"/>
        <v/>
      </c>
      <c r="F75" t="str">
        <f t="shared" si="15"/>
        <v/>
      </c>
      <c r="G75">
        <f t="shared" si="16"/>
        <v>0</v>
      </c>
    </row>
    <row r="76" spans="1:7" ht="15" customHeight="1" x14ac:dyDescent="0.2">
      <c r="A76" t="str">
        <f>Andata!S22</f>
        <v>Inter</v>
      </c>
      <c r="B76" t="str">
        <f>IF(Andata!T22="","",Andata!T22)</f>
        <v/>
      </c>
      <c r="C76" t="str">
        <f>IF(Andata!U22="","",Andata!U22)</f>
        <v/>
      </c>
      <c r="D76" t="str">
        <f>Andata!V22</f>
        <v>Fiorentina</v>
      </c>
      <c r="E76" t="str">
        <f t="shared" si="14"/>
        <v/>
      </c>
      <c r="F76" t="str">
        <f t="shared" si="15"/>
        <v/>
      </c>
      <c r="G76">
        <f t="shared" si="16"/>
        <v>0</v>
      </c>
    </row>
    <row r="77" spans="1:7" ht="15" customHeight="1" x14ac:dyDescent="0.2">
      <c r="A77" t="str">
        <f>Andata!S23</f>
        <v>Lazio</v>
      </c>
      <c r="B77" t="str">
        <f>IF(Andata!T23="","",Andata!T23)</f>
        <v/>
      </c>
      <c r="C77" t="str">
        <f>IF(Andata!U23="","",Andata!U23)</f>
        <v/>
      </c>
      <c r="D77" t="str">
        <f>Andata!V23</f>
        <v>Parma</v>
      </c>
      <c r="E77" t="str">
        <f t="shared" si="14"/>
        <v/>
      </c>
      <c r="F77" t="str">
        <f t="shared" si="15"/>
        <v/>
      </c>
      <c r="G77">
        <f t="shared" si="16"/>
        <v>0</v>
      </c>
    </row>
    <row r="78" spans="1:7" ht="15" customHeight="1" x14ac:dyDescent="0.2">
      <c r="A78" t="str">
        <f>Andata!S24</f>
        <v>Lecce</v>
      </c>
      <c r="B78" t="str">
        <f>IF(Andata!T24="","",Andata!T24)</f>
        <v/>
      </c>
      <c r="C78" t="str">
        <f>IF(Andata!U24="","",Andata!U24)</f>
        <v/>
      </c>
      <c r="D78" t="str">
        <f>Andata!V24</f>
        <v>Juventus</v>
      </c>
      <c r="E78" t="str">
        <f t="shared" si="14"/>
        <v/>
      </c>
      <c r="F78" t="str">
        <f t="shared" si="15"/>
        <v/>
      </c>
      <c r="G78">
        <f t="shared" si="16"/>
        <v>0</v>
      </c>
    </row>
    <row r="79" spans="1:7" ht="15" customHeight="1" x14ac:dyDescent="0.2">
      <c r="A79" t="str">
        <f>Andata!S25</f>
        <v>Napoli</v>
      </c>
      <c r="B79" t="str">
        <f>IF(Andata!T25="","",Andata!T25)</f>
        <v/>
      </c>
      <c r="C79" t="str">
        <f>IF(Andata!U25="","",Andata!U25)</f>
        <v/>
      </c>
      <c r="D79" t="str">
        <f>Andata!V25</f>
        <v>Roma</v>
      </c>
      <c r="E79" t="str">
        <f t="shared" si="14"/>
        <v/>
      </c>
      <c r="F79" t="str">
        <f t="shared" si="15"/>
        <v/>
      </c>
      <c r="G79">
        <f t="shared" si="16"/>
        <v>0</v>
      </c>
    </row>
    <row r="80" spans="1:7" ht="15" customHeight="1" x14ac:dyDescent="0.2">
      <c r="A80" t="str">
        <f>Andata!S26</f>
        <v>Torino</v>
      </c>
      <c r="B80" t="str">
        <f>IF(Andata!T26="","",Andata!T26)</f>
        <v/>
      </c>
      <c r="C80" t="str">
        <f>IF(Andata!U26="","",Andata!U26)</f>
        <v/>
      </c>
      <c r="D80" t="str">
        <f>Andata!V26</f>
        <v>Monza</v>
      </c>
      <c r="E80" t="str">
        <f t="shared" si="14"/>
        <v/>
      </c>
      <c r="F80" t="str">
        <f t="shared" si="15"/>
        <v/>
      </c>
      <c r="G80">
        <f t="shared" si="16"/>
        <v>0</v>
      </c>
    </row>
    <row r="81" spans="1:7" ht="15" customHeight="1" x14ac:dyDescent="0.2">
      <c r="A81" t="str">
        <f>Andata!S27</f>
        <v>Udinese</v>
      </c>
      <c r="B81" t="str">
        <f>IF(Andata!T27="","",Andata!T27)</f>
        <v/>
      </c>
      <c r="C81" t="str">
        <f>IF(Andata!U27="","",Andata!U27)</f>
        <v/>
      </c>
      <c r="D81" t="str">
        <f>Andata!V27</f>
        <v>Milan</v>
      </c>
      <c r="E81" t="str">
        <f t="shared" si="14"/>
        <v/>
      </c>
      <c r="F81" t="str">
        <f t="shared" si="15"/>
        <v/>
      </c>
      <c r="G81">
        <f t="shared" si="16"/>
        <v>0</v>
      </c>
    </row>
    <row r="82" spans="1:7" ht="15" customHeight="1" x14ac:dyDescent="0.2">
      <c r="A82" t="str">
        <f>Andata!Y18</f>
        <v>Fiorentina</v>
      </c>
      <c r="B82" t="str">
        <f>IF(Andata!Z18="","",Andata!Z18)</f>
        <v/>
      </c>
      <c r="C82" t="str">
        <f>IF(Andata!AA18="","",Andata!AA18)</f>
        <v/>
      </c>
      <c r="D82" t="str">
        <f>Andata!AB18</f>
        <v>Atalanta</v>
      </c>
      <c r="E82" t="str">
        <f t="shared" si="14"/>
        <v/>
      </c>
      <c r="F82" t="str">
        <f t="shared" si="15"/>
        <v/>
      </c>
      <c r="G82">
        <f t="shared" si="16"/>
        <v>0</v>
      </c>
    </row>
    <row r="83" spans="1:7" ht="15" customHeight="1" x14ac:dyDescent="0.2">
      <c r="A83" t="str">
        <f>Andata!Y19</f>
        <v>Frosinone</v>
      </c>
      <c r="B83" t="str">
        <f>IF(Andata!Z19="","",Andata!Z19)</f>
        <v/>
      </c>
      <c r="C83" t="str">
        <f>IF(Andata!AA19="","",Andata!AA19)</f>
        <v/>
      </c>
      <c r="D83" t="str">
        <f>Andata!AB19</f>
        <v>Lecce</v>
      </c>
      <c r="E83" t="str">
        <f t="shared" si="14"/>
        <v/>
      </c>
      <c r="F83" t="str">
        <f t="shared" si="15"/>
        <v/>
      </c>
      <c r="G83">
        <f t="shared" si="16"/>
        <v>0</v>
      </c>
    </row>
    <row r="84" spans="1:7" ht="15" customHeight="1" x14ac:dyDescent="0.2">
      <c r="A84" t="str">
        <f>Andata!Y20</f>
        <v>Genoa</v>
      </c>
      <c r="B84" t="str">
        <f>IF(Andata!Z20="","",Andata!Z20)</f>
        <v/>
      </c>
      <c r="C84" t="str">
        <f>IF(Andata!AA20="","",Andata!AA20)</f>
        <v/>
      </c>
      <c r="D84" t="str">
        <f>Andata!AB20</f>
        <v>Juventus</v>
      </c>
      <c r="E84" t="str">
        <f t="shared" si="14"/>
        <v/>
      </c>
      <c r="F84" t="str">
        <f t="shared" si="15"/>
        <v/>
      </c>
      <c r="G84">
        <f t="shared" si="16"/>
        <v>0</v>
      </c>
    </row>
    <row r="85" spans="1:7" ht="15" customHeight="1" x14ac:dyDescent="0.2">
      <c r="A85" t="str">
        <f>Andata!Y21</f>
        <v>Milan</v>
      </c>
      <c r="B85" t="str">
        <f>IF(Andata!Z21="","",Andata!Z21)</f>
        <v/>
      </c>
      <c r="C85" t="str">
        <f>IF(Andata!AA21="","",Andata!AA21)</f>
        <v/>
      </c>
      <c r="D85" t="str">
        <f>Andata!AB21</f>
        <v>Bologna</v>
      </c>
      <c r="E85" t="str">
        <f t="shared" si="14"/>
        <v/>
      </c>
      <c r="F85" t="str">
        <f t="shared" si="15"/>
        <v/>
      </c>
      <c r="G85">
        <f t="shared" si="16"/>
        <v>0</v>
      </c>
    </row>
    <row r="86" spans="1:7" ht="15" customHeight="1" x14ac:dyDescent="0.2">
      <c r="A86" t="str">
        <f>Andata!Y22</f>
        <v>Monza</v>
      </c>
      <c r="B86" t="str">
        <f>IF(Andata!Z22="","",Andata!Z22)</f>
        <v/>
      </c>
      <c r="C86" t="str">
        <f>IF(Andata!AA22="","",Andata!AA22)</f>
        <v/>
      </c>
      <c r="D86" t="str">
        <f>Andata!AB22</f>
        <v>Napoli</v>
      </c>
      <c r="E86" t="str">
        <f t="shared" si="14"/>
        <v/>
      </c>
      <c r="F86" t="str">
        <f t="shared" si="15"/>
        <v/>
      </c>
      <c r="G86">
        <f t="shared" si="16"/>
        <v>0</v>
      </c>
    </row>
    <row r="87" spans="1:7" ht="15" customHeight="1" x14ac:dyDescent="0.2">
      <c r="A87" t="str">
        <f>Andata!Y23</f>
        <v>Parma</v>
      </c>
      <c r="B87" t="str">
        <f>IF(Andata!Z23="","",Andata!Z23)</f>
        <v/>
      </c>
      <c r="C87" t="str">
        <f>IF(Andata!AA23="","",Andata!AA23)</f>
        <v/>
      </c>
      <c r="D87" t="str">
        <f>Andata!AB23</f>
        <v>Udinese</v>
      </c>
      <c r="E87" t="str">
        <f t="shared" si="14"/>
        <v/>
      </c>
      <c r="F87" t="str">
        <f t="shared" si="15"/>
        <v/>
      </c>
      <c r="G87">
        <f t="shared" si="16"/>
        <v>0</v>
      </c>
    </row>
    <row r="88" spans="1:7" ht="15" customHeight="1" x14ac:dyDescent="0.2">
      <c r="A88" t="str">
        <f>Andata!Y24</f>
        <v>Roma</v>
      </c>
      <c r="B88" t="str">
        <f>IF(Andata!Z24="","",Andata!Z24)</f>
        <v/>
      </c>
      <c r="C88" t="str">
        <f>IF(Andata!AA24="","",Andata!AA24)</f>
        <v/>
      </c>
      <c r="D88" t="str">
        <f>Andata!AB24</f>
        <v>Cagliari</v>
      </c>
      <c r="E88" t="str">
        <f t="shared" si="14"/>
        <v/>
      </c>
      <c r="F88" t="str">
        <f t="shared" si="15"/>
        <v/>
      </c>
      <c r="G88">
        <f t="shared" si="16"/>
        <v>0</v>
      </c>
    </row>
    <row r="89" spans="1:7" ht="15" customHeight="1" x14ac:dyDescent="0.2">
      <c r="A89" t="str">
        <f>Andata!Y25</f>
        <v>Sassuolo</v>
      </c>
      <c r="B89" t="str">
        <f>IF(Andata!Z25="","",Andata!Z25)</f>
        <v/>
      </c>
      <c r="C89" t="str">
        <f>IF(Andata!AA25="","",Andata!AA25)</f>
        <v/>
      </c>
      <c r="D89" t="str">
        <f>Andata!AB25</f>
        <v>Lazio</v>
      </c>
      <c r="E89" t="str">
        <f t="shared" si="14"/>
        <v/>
      </c>
      <c r="F89" t="str">
        <f t="shared" si="15"/>
        <v/>
      </c>
      <c r="G89">
        <f t="shared" si="16"/>
        <v>0</v>
      </c>
    </row>
    <row r="90" spans="1:7" ht="15" customHeight="1" x14ac:dyDescent="0.2">
      <c r="A90" t="str">
        <f>Andata!Y26</f>
        <v>Torino</v>
      </c>
      <c r="B90" t="str">
        <f>IF(Andata!Z26="","",Andata!Z26)</f>
        <v/>
      </c>
      <c r="C90" t="str">
        <f>IF(Andata!AA26="","",Andata!AA26)</f>
        <v/>
      </c>
      <c r="D90" t="str">
        <f>Andata!AB26</f>
        <v>Como</v>
      </c>
      <c r="E90" t="str">
        <f t="shared" si="14"/>
        <v/>
      </c>
      <c r="F90" t="str">
        <f t="shared" si="15"/>
        <v/>
      </c>
      <c r="G90">
        <f t="shared" si="16"/>
        <v>0</v>
      </c>
    </row>
    <row r="91" spans="1:7" ht="15" customHeight="1" x14ac:dyDescent="0.2">
      <c r="A91" t="str">
        <f>Andata!Y27</f>
        <v>Venezia</v>
      </c>
      <c r="B91" t="str">
        <f>IF(Andata!Z27="","",Andata!Z27)</f>
        <v/>
      </c>
      <c r="C91" t="str">
        <f>IF(Andata!AA27="","",Andata!AA27)</f>
        <v/>
      </c>
      <c r="D91" t="str">
        <f>Andata!AB27</f>
        <v>Inter</v>
      </c>
      <c r="E91" t="str">
        <f t="shared" si="14"/>
        <v/>
      </c>
      <c r="F91" t="str">
        <f t="shared" si="15"/>
        <v/>
      </c>
      <c r="G91">
        <f t="shared" si="16"/>
        <v>0</v>
      </c>
    </row>
    <row r="92" spans="1:7" ht="15" customHeight="1" x14ac:dyDescent="0.2">
      <c r="A92" t="str">
        <f>Andata!A32</f>
        <v>Atalanta</v>
      </c>
      <c r="B92" t="str">
        <f>IF(Andata!B32="","",Andata!B32)</f>
        <v/>
      </c>
      <c r="C92" t="str">
        <f>IF(Andata!C32="","",Andata!C32)</f>
        <v/>
      </c>
      <c r="D92" t="str">
        <f>Andata!D32</f>
        <v>Parma</v>
      </c>
      <c r="E92" t="str">
        <f t="shared" si="14"/>
        <v/>
      </c>
      <c r="F92" t="str">
        <f t="shared" si="15"/>
        <v/>
      </c>
      <c r="G92">
        <f t="shared" si="16"/>
        <v>0</v>
      </c>
    </row>
    <row r="93" spans="1:7" ht="15" customHeight="1" x14ac:dyDescent="0.2">
      <c r="A93" t="str">
        <f>Andata!A33</f>
        <v>Bologna</v>
      </c>
      <c r="B93" t="str">
        <f>IF(Andata!B33="","",Andata!B33)</f>
        <v/>
      </c>
      <c r="C93" t="str">
        <f>IF(Andata!C33="","",Andata!C33)</f>
        <v/>
      </c>
      <c r="D93" t="str">
        <f>Andata!D33</f>
        <v>Monza</v>
      </c>
      <c r="E93" t="str">
        <f t="shared" si="14"/>
        <v/>
      </c>
      <c r="F93" t="str">
        <f t="shared" si="15"/>
        <v/>
      </c>
      <c r="G93">
        <f t="shared" si="16"/>
        <v>0</v>
      </c>
    </row>
    <row r="94" spans="1:7" ht="15" customHeight="1" x14ac:dyDescent="0.2">
      <c r="A94" t="str">
        <f>Andata!A34</f>
        <v>Como</v>
      </c>
      <c r="B94" t="str">
        <f>IF(Andata!B34="","",Andata!B34)</f>
        <v/>
      </c>
      <c r="C94" t="str">
        <f>IF(Andata!C34="","",Andata!C34)</f>
        <v/>
      </c>
      <c r="D94" t="str">
        <f>Andata!D34</f>
        <v>Venezia</v>
      </c>
      <c r="E94" t="str">
        <f t="shared" si="14"/>
        <v/>
      </c>
      <c r="F94" t="str">
        <f t="shared" si="15"/>
        <v/>
      </c>
      <c r="G94">
        <f t="shared" si="16"/>
        <v>0</v>
      </c>
    </row>
    <row r="95" spans="1:7" ht="15" customHeight="1" x14ac:dyDescent="0.2">
      <c r="A95" t="str">
        <f>Andata!A35</f>
        <v>Frosinone</v>
      </c>
      <c r="B95" t="str">
        <f>IF(Andata!B35="","",Andata!B35)</f>
        <v/>
      </c>
      <c r="C95" t="str">
        <f>IF(Andata!C35="","",Andata!C35)</f>
        <v/>
      </c>
      <c r="D95" t="str">
        <f>Andata!D35</f>
        <v>Torino</v>
      </c>
      <c r="E95" t="str">
        <f t="shared" si="14"/>
        <v/>
      </c>
      <c r="F95" t="str">
        <f t="shared" si="15"/>
        <v/>
      </c>
      <c r="G95">
        <f t="shared" si="16"/>
        <v>0</v>
      </c>
    </row>
    <row r="96" spans="1:7" ht="15" customHeight="1" x14ac:dyDescent="0.2">
      <c r="A96" t="str">
        <f>Andata!A36</f>
        <v>Juventus</v>
      </c>
      <c r="B96" t="str">
        <f>IF(Andata!B36="","",Andata!B36)</f>
        <v/>
      </c>
      <c r="C96" t="str">
        <f>IF(Andata!C36="","",Andata!C36)</f>
        <v/>
      </c>
      <c r="D96" t="str">
        <f>Andata!D36</f>
        <v>Napoli</v>
      </c>
      <c r="E96" t="str">
        <f t="shared" si="14"/>
        <v/>
      </c>
      <c r="F96" t="str">
        <f t="shared" si="15"/>
        <v/>
      </c>
      <c r="G96">
        <f t="shared" si="16"/>
        <v>0</v>
      </c>
    </row>
    <row r="97" spans="1:7" ht="15" customHeight="1" x14ac:dyDescent="0.2">
      <c r="A97" t="str">
        <f>Andata!A37</f>
        <v>Lazio</v>
      </c>
      <c r="B97" t="str">
        <f>IF(Andata!B37="","",Andata!B37)</f>
        <v/>
      </c>
      <c r="C97" t="str">
        <f>IF(Andata!C37="","",Andata!C37)</f>
        <v/>
      </c>
      <c r="D97" t="str">
        <f>Andata!D37</f>
        <v>Cagliari</v>
      </c>
      <c r="E97" t="str">
        <f t="shared" si="14"/>
        <v/>
      </c>
      <c r="F97" t="str">
        <f t="shared" si="15"/>
        <v/>
      </c>
      <c r="G97">
        <f t="shared" si="16"/>
        <v>0</v>
      </c>
    </row>
    <row r="98" spans="1:7" ht="15" customHeight="1" x14ac:dyDescent="0.2">
      <c r="A98" t="str">
        <f>Andata!A38</f>
        <v>Lecce</v>
      </c>
      <c r="B98" t="str">
        <f>IF(Andata!B38="","",Andata!B38)</f>
        <v/>
      </c>
      <c r="C98" t="str">
        <f>IF(Andata!C38="","",Andata!C38)</f>
        <v/>
      </c>
      <c r="D98" t="str">
        <f>Andata!D38</f>
        <v>Genoa</v>
      </c>
      <c r="E98" t="str">
        <f t="shared" si="14"/>
        <v/>
      </c>
      <c r="F98" t="str">
        <f t="shared" si="15"/>
        <v/>
      </c>
      <c r="G98">
        <f t="shared" si="16"/>
        <v>0</v>
      </c>
    </row>
    <row r="99" spans="1:7" ht="15" customHeight="1" x14ac:dyDescent="0.2">
      <c r="A99" t="str">
        <f>Andata!A39</f>
        <v>Milan</v>
      </c>
      <c r="B99" t="str">
        <f>IF(Andata!B39="","",Andata!B39)</f>
        <v/>
      </c>
      <c r="C99" t="str">
        <f>IF(Andata!C39="","",Andata!C39)</f>
        <v/>
      </c>
      <c r="D99" t="str">
        <f>Andata!D39</f>
        <v>Inter</v>
      </c>
      <c r="E99" t="str">
        <f t="shared" si="14"/>
        <v/>
      </c>
      <c r="F99" t="str">
        <f t="shared" si="15"/>
        <v/>
      </c>
      <c r="G99">
        <f t="shared" si="16"/>
        <v>0</v>
      </c>
    </row>
    <row r="100" spans="1:7" ht="15" customHeight="1" x14ac:dyDescent="0.2">
      <c r="A100" t="str">
        <f>Andata!A40</f>
        <v>Sassuolo</v>
      </c>
      <c r="B100" t="str">
        <f>IF(Andata!B40="","",Andata!B40)</f>
        <v/>
      </c>
      <c r="C100" t="str">
        <f>IF(Andata!C40="","",Andata!C40)</f>
        <v/>
      </c>
      <c r="D100" t="str">
        <f>Andata!D40</f>
        <v>Fiorentina</v>
      </c>
      <c r="E100" t="str">
        <f t="shared" si="14"/>
        <v/>
      </c>
      <c r="F100" t="str">
        <f t="shared" si="15"/>
        <v/>
      </c>
      <c r="G100">
        <f t="shared" si="16"/>
        <v>0</v>
      </c>
    </row>
    <row r="101" spans="1:7" ht="15" customHeight="1" x14ac:dyDescent="0.2">
      <c r="A101" t="str">
        <f>Andata!A41</f>
        <v>Udinese</v>
      </c>
      <c r="B101" t="str">
        <f>IF(Andata!B41="","",Andata!B41)</f>
        <v/>
      </c>
      <c r="C101" t="str">
        <f>IF(Andata!C41="","",Andata!C41)</f>
        <v/>
      </c>
      <c r="D101" t="str">
        <f>Andata!D41</f>
        <v>Roma</v>
      </c>
      <c r="E101" t="str">
        <f t="shared" si="14"/>
        <v/>
      </c>
      <c r="F101" t="str">
        <f t="shared" si="15"/>
        <v/>
      </c>
      <c r="G101">
        <f t="shared" si="16"/>
        <v>0</v>
      </c>
    </row>
    <row r="102" spans="1:7" ht="15" customHeight="1" x14ac:dyDescent="0.2">
      <c r="A102" t="str">
        <f>Andata!G32</f>
        <v>Cagliari</v>
      </c>
      <c r="B102" t="str">
        <f>IF(Andata!H32="","",Andata!H32)</f>
        <v/>
      </c>
      <c r="C102" t="str">
        <f>IF(Andata!I32="","",Andata!I32)</f>
        <v/>
      </c>
      <c r="D102" t="str">
        <f>Andata!J32</f>
        <v>Frosinone</v>
      </c>
      <c r="E102" t="str">
        <f t="shared" si="14"/>
        <v/>
      </c>
      <c r="F102" t="str">
        <f t="shared" si="15"/>
        <v/>
      </c>
      <c r="G102">
        <f t="shared" si="16"/>
        <v>0</v>
      </c>
    </row>
    <row r="103" spans="1:7" ht="15" customHeight="1" x14ac:dyDescent="0.2">
      <c r="A103" t="str">
        <f>Andata!G33</f>
        <v>Fiorentina</v>
      </c>
      <c r="B103" t="str">
        <f>IF(Andata!H33="","",Andata!H33)</f>
        <v/>
      </c>
      <c r="C103" t="str">
        <f>IF(Andata!I33="","",Andata!I33)</f>
        <v/>
      </c>
      <c r="D103" t="str">
        <f>Andata!J33</f>
        <v>Juventus</v>
      </c>
      <c r="E103" t="str">
        <f t="shared" si="14"/>
        <v/>
      </c>
      <c r="F103" t="str">
        <f t="shared" si="15"/>
        <v/>
      </c>
      <c r="G103">
        <f t="shared" si="16"/>
        <v>0</v>
      </c>
    </row>
    <row r="104" spans="1:7" ht="15" customHeight="1" x14ac:dyDescent="0.2">
      <c r="A104" t="str">
        <f>Andata!G34</f>
        <v>Genoa</v>
      </c>
      <c r="B104" t="str">
        <f>IF(Andata!H34="","",Andata!H34)</f>
        <v/>
      </c>
      <c r="C104" t="str">
        <f>IF(Andata!I34="","",Andata!I34)</f>
        <v/>
      </c>
      <c r="D104" t="str">
        <f>Andata!J34</f>
        <v>Milan</v>
      </c>
      <c r="E104" t="str">
        <f t="shared" si="14"/>
        <v/>
      </c>
      <c r="F104" t="str">
        <f t="shared" si="15"/>
        <v/>
      </c>
      <c r="G104">
        <f t="shared" si="16"/>
        <v>0</v>
      </c>
    </row>
    <row r="105" spans="1:7" ht="15" customHeight="1" x14ac:dyDescent="0.2">
      <c r="A105" t="str">
        <f>Andata!G35</f>
        <v>Inter</v>
      </c>
      <c r="B105" t="str">
        <f>IF(Andata!H35="","",Andata!H35)</f>
        <v/>
      </c>
      <c r="C105" t="str">
        <f>IF(Andata!I35="","",Andata!I35)</f>
        <v/>
      </c>
      <c r="D105" t="str">
        <f>Andata!J35</f>
        <v>Como</v>
      </c>
      <c r="E105" t="str">
        <f t="shared" si="14"/>
        <v/>
      </c>
      <c r="F105" t="str">
        <f t="shared" si="15"/>
        <v/>
      </c>
      <c r="G105">
        <f t="shared" si="16"/>
        <v>0</v>
      </c>
    </row>
    <row r="106" spans="1:7" ht="15" customHeight="1" x14ac:dyDescent="0.2">
      <c r="A106" t="str">
        <f>Andata!G36</f>
        <v>Monza</v>
      </c>
      <c r="B106" t="str">
        <f>IF(Andata!H36="","",Andata!H36)</f>
        <v/>
      </c>
      <c r="C106" t="str">
        <f>IF(Andata!I36="","",Andata!I36)</f>
        <v/>
      </c>
      <c r="D106" t="str">
        <f>Andata!J36</f>
        <v>Atalanta</v>
      </c>
      <c r="E106" t="str">
        <f t="shared" si="14"/>
        <v/>
      </c>
      <c r="F106" t="str">
        <f t="shared" si="15"/>
        <v/>
      </c>
      <c r="G106">
        <f t="shared" si="16"/>
        <v>0</v>
      </c>
    </row>
    <row r="107" spans="1:7" ht="15" customHeight="1" x14ac:dyDescent="0.2">
      <c r="A107" t="str">
        <f>Andata!G37</f>
        <v>Napoli</v>
      </c>
      <c r="B107" t="str">
        <f>IF(Andata!H37="","",Andata!H37)</f>
        <v/>
      </c>
      <c r="C107" t="str">
        <f>IF(Andata!I37="","",Andata!I37)</f>
        <v/>
      </c>
      <c r="D107" t="str">
        <f>Andata!J37</f>
        <v>Lazio</v>
      </c>
      <c r="E107" t="str">
        <f t="shared" si="14"/>
        <v/>
      </c>
      <c r="F107" t="str">
        <f t="shared" si="15"/>
        <v/>
      </c>
      <c r="G107">
        <f t="shared" si="16"/>
        <v>0</v>
      </c>
    </row>
    <row r="108" spans="1:7" ht="15" customHeight="1" x14ac:dyDescent="0.2">
      <c r="A108" t="str">
        <f>Andata!G38</f>
        <v>Parma</v>
      </c>
      <c r="B108" t="str">
        <f>IF(Andata!H38="","",Andata!H38)</f>
        <v/>
      </c>
      <c r="C108" t="str">
        <f>IF(Andata!I38="","",Andata!I38)</f>
        <v/>
      </c>
      <c r="D108" t="str">
        <f>Andata!J38</f>
        <v>Bologna</v>
      </c>
      <c r="E108" t="str">
        <f t="shared" si="14"/>
        <v/>
      </c>
      <c r="F108" t="str">
        <f t="shared" si="15"/>
        <v/>
      </c>
      <c r="G108">
        <f t="shared" si="16"/>
        <v>0</v>
      </c>
    </row>
    <row r="109" spans="1:7" ht="15" customHeight="1" x14ac:dyDescent="0.2">
      <c r="A109" t="str">
        <f>Andata!G39</f>
        <v>Roma</v>
      </c>
      <c r="B109" t="str">
        <f>IF(Andata!H39="","",Andata!H39)</f>
        <v/>
      </c>
      <c r="C109" t="str">
        <f>IF(Andata!I39="","",Andata!I39)</f>
        <v/>
      </c>
      <c r="D109" t="str">
        <f>Andata!J39</f>
        <v>Sassuolo</v>
      </c>
      <c r="E109" t="str">
        <f t="shared" si="14"/>
        <v/>
      </c>
      <c r="F109" t="str">
        <f t="shared" si="15"/>
        <v/>
      </c>
      <c r="G109">
        <f t="shared" si="16"/>
        <v>0</v>
      </c>
    </row>
    <row r="110" spans="1:7" ht="15" customHeight="1" x14ac:dyDescent="0.2">
      <c r="A110" t="str">
        <f>Andata!G40</f>
        <v>Torino</v>
      </c>
      <c r="B110" t="str">
        <f>IF(Andata!H40="","",Andata!H40)</f>
        <v/>
      </c>
      <c r="C110" t="str">
        <f>IF(Andata!I40="","",Andata!I40)</f>
        <v/>
      </c>
      <c r="D110" t="str">
        <f>Andata!J40</f>
        <v>Lecce</v>
      </c>
      <c r="E110" t="str">
        <f t="shared" si="14"/>
        <v/>
      </c>
      <c r="F110" t="str">
        <f t="shared" si="15"/>
        <v/>
      </c>
      <c r="G110">
        <f t="shared" si="16"/>
        <v>0</v>
      </c>
    </row>
    <row r="111" spans="1:7" ht="15" customHeight="1" x14ac:dyDescent="0.2">
      <c r="A111" t="str">
        <f>Andata!G41</f>
        <v>Venezia</v>
      </c>
      <c r="B111" t="str">
        <f>IF(Andata!H41="","",Andata!H41)</f>
        <v/>
      </c>
      <c r="C111" t="str">
        <f>IF(Andata!I41="","",Andata!I41)</f>
        <v/>
      </c>
      <c r="D111" t="str">
        <f>Andata!J41</f>
        <v>Udinese</v>
      </c>
      <c r="E111" t="str">
        <f t="shared" si="14"/>
        <v/>
      </c>
      <c r="F111" t="str">
        <f t="shared" si="15"/>
        <v/>
      </c>
      <c r="G111">
        <f t="shared" si="16"/>
        <v>0</v>
      </c>
    </row>
    <row r="112" spans="1:7" ht="15" customHeight="1" x14ac:dyDescent="0.2">
      <c r="A112" t="str">
        <f>Andata!M32</f>
        <v>Atalanta</v>
      </c>
      <c r="B112" t="str">
        <f>IF(Andata!N32="","",Andata!N32)</f>
        <v/>
      </c>
      <c r="C112" t="str">
        <f>IF(Andata!O32="","",Andata!O32)</f>
        <v/>
      </c>
      <c r="D112" t="str">
        <f>Andata!P32</f>
        <v>Inter</v>
      </c>
      <c r="E112" t="str">
        <f t="shared" si="14"/>
        <v/>
      </c>
      <c r="F112" t="str">
        <f t="shared" si="15"/>
        <v/>
      </c>
      <c r="G112">
        <f t="shared" si="16"/>
        <v>0</v>
      </c>
    </row>
    <row r="113" spans="1:7" ht="15" customHeight="1" x14ac:dyDescent="0.2">
      <c r="A113" t="str">
        <f>Andata!M33</f>
        <v>Bologna</v>
      </c>
      <c r="B113" t="str">
        <f>IF(Andata!N33="","",Andata!N33)</f>
        <v/>
      </c>
      <c r="C113" t="str">
        <f>IF(Andata!O33="","",Andata!O33)</f>
        <v/>
      </c>
      <c r="D113" t="str">
        <f>Andata!P33</f>
        <v>Udinese</v>
      </c>
      <c r="E113" t="str">
        <f t="shared" si="14"/>
        <v/>
      </c>
      <c r="F113" t="str">
        <f t="shared" si="15"/>
        <v/>
      </c>
      <c r="G113">
        <f t="shared" si="16"/>
        <v>0</v>
      </c>
    </row>
    <row r="114" spans="1:7" ht="15" customHeight="1" x14ac:dyDescent="0.2">
      <c r="A114" t="str">
        <f>Andata!M34</f>
        <v>Como</v>
      </c>
      <c r="B114" t="str">
        <f>IF(Andata!N34="","",Andata!N34)</f>
        <v/>
      </c>
      <c r="C114" t="str">
        <f>IF(Andata!O34="","",Andata!O34)</f>
        <v/>
      </c>
      <c r="D114" t="str">
        <f>Andata!P34</f>
        <v>Cagliari</v>
      </c>
      <c r="E114" t="str">
        <f t="shared" si="14"/>
        <v/>
      </c>
      <c r="F114" t="str">
        <f t="shared" si="15"/>
        <v/>
      </c>
      <c r="G114">
        <f t="shared" si="16"/>
        <v>0</v>
      </c>
    </row>
    <row r="115" spans="1:7" ht="15" customHeight="1" x14ac:dyDescent="0.2">
      <c r="A115" t="str">
        <f>Andata!M35</f>
        <v>Juventus</v>
      </c>
      <c r="B115" t="str">
        <f>IF(Andata!N35="","",Andata!N35)</f>
        <v/>
      </c>
      <c r="C115" t="str">
        <f>IF(Andata!O35="","",Andata!O35)</f>
        <v/>
      </c>
      <c r="D115" t="str">
        <f>Andata!P35</f>
        <v>Venezia</v>
      </c>
      <c r="E115" t="str">
        <f t="shared" si="14"/>
        <v/>
      </c>
      <c r="F115" t="str">
        <f t="shared" si="15"/>
        <v/>
      </c>
      <c r="G115">
        <f t="shared" si="16"/>
        <v>0</v>
      </c>
    </row>
    <row r="116" spans="1:7" ht="15" customHeight="1" x14ac:dyDescent="0.2">
      <c r="A116" t="str">
        <f>Andata!M36</f>
        <v>Lazio</v>
      </c>
      <c r="B116" t="str">
        <f>IF(Andata!N36="","",Andata!N36)</f>
        <v/>
      </c>
      <c r="C116" t="str">
        <f>IF(Andata!O36="","",Andata!O36)</f>
        <v/>
      </c>
      <c r="D116" t="str">
        <f>Andata!P36</f>
        <v>Lecce</v>
      </c>
      <c r="E116" t="str">
        <f t="shared" si="14"/>
        <v/>
      </c>
      <c r="F116" t="str">
        <f t="shared" si="15"/>
        <v/>
      </c>
      <c r="G116">
        <f t="shared" si="16"/>
        <v>0</v>
      </c>
    </row>
    <row r="117" spans="1:7" ht="15" customHeight="1" x14ac:dyDescent="0.2">
      <c r="A117" t="str">
        <f>Andata!M37</f>
        <v>Milan</v>
      </c>
      <c r="B117" t="str">
        <f>IF(Andata!N37="","",Andata!N37)</f>
        <v/>
      </c>
      <c r="C117" t="str">
        <f>IF(Andata!O37="","",Andata!O37)</f>
        <v/>
      </c>
      <c r="D117" t="str">
        <f>Andata!P37</f>
        <v>Frosinone</v>
      </c>
      <c r="E117" t="str">
        <f t="shared" si="14"/>
        <v/>
      </c>
      <c r="F117" t="str">
        <f t="shared" si="15"/>
        <v/>
      </c>
      <c r="G117">
        <f t="shared" si="16"/>
        <v>0</v>
      </c>
    </row>
    <row r="118" spans="1:7" ht="15" customHeight="1" x14ac:dyDescent="0.2">
      <c r="A118" t="str">
        <f>Andata!M38</f>
        <v>Monza</v>
      </c>
      <c r="B118" t="str">
        <f>IF(Andata!N38="","",Andata!N38)</f>
        <v/>
      </c>
      <c r="C118" t="str">
        <f>IF(Andata!O38="","",Andata!O38)</f>
        <v/>
      </c>
      <c r="D118" t="str">
        <f>Andata!P38</f>
        <v>Fiorentina</v>
      </c>
      <c r="E118" t="str">
        <f t="shared" si="14"/>
        <v/>
      </c>
      <c r="F118" t="str">
        <f t="shared" si="15"/>
        <v/>
      </c>
      <c r="G118">
        <f t="shared" si="16"/>
        <v>0</v>
      </c>
    </row>
    <row r="119" spans="1:7" ht="15" customHeight="1" x14ac:dyDescent="0.2">
      <c r="A119" t="str">
        <f>Andata!M39</f>
        <v>Napoli</v>
      </c>
      <c r="B119" t="str">
        <f>IF(Andata!N39="","",Andata!N39)</f>
        <v/>
      </c>
      <c r="C119" t="str">
        <f>IF(Andata!O39="","",Andata!O39)</f>
        <v/>
      </c>
      <c r="D119" t="str">
        <f>Andata!P39</f>
        <v>Torino</v>
      </c>
      <c r="E119" t="str">
        <f t="shared" si="14"/>
        <v/>
      </c>
      <c r="F119" t="str">
        <f t="shared" si="15"/>
        <v/>
      </c>
      <c r="G119">
        <f t="shared" si="16"/>
        <v>0</v>
      </c>
    </row>
    <row r="120" spans="1:7" ht="15" customHeight="1" x14ac:dyDescent="0.2">
      <c r="A120" t="str">
        <f>Andata!M40</f>
        <v>Parma</v>
      </c>
      <c r="B120" t="str">
        <f>IF(Andata!N40="","",Andata!N40)</f>
        <v/>
      </c>
      <c r="C120" t="str">
        <f>IF(Andata!O40="","",Andata!O40)</f>
        <v/>
      </c>
      <c r="D120" t="str">
        <f>Andata!P40</f>
        <v>Roma</v>
      </c>
      <c r="E120" t="str">
        <f t="shared" si="14"/>
        <v/>
      </c>
      <c r="F120" t="str">
        <f t="shared" si="15"/>
        <v/>
      </c>
      <c r="G120">
        <f t="shared" si="16"/>
        <v>0</v>
      </c>
    </row>
    <row r="121" spans="1:7" ht="15" customHeight="1" x14ac:dyDescent="0.2">
      <c r="A121" t="str">
        <f>Andata!M41</f>
        <v>Sassuolo</v>
      </c>
      <c r="B121" t="str">
        <f>IF(Andata!N41="","",Andata!N41)</f>
        <v/>
      </c>
      <c r="C121" t="str">
        <f>IF(Andata!O41="","",Andata!O41)</f>
        <v/>
      </c>
      <c r="D121" t="str">
        <f>Andata!P41</f>
        <v>Genoa</v>
      </c>
      <c r="E121" t="str">
        <f t="shared" si="14"/>
        <v/>
      </c>
      <c r="F121" t="str">
        <f t="shared" si="15"/>
        <v/>
      </c>
      <c r="G121">
        <f t="shared" si="16"/>
        <v>0</v>
      </c>
    </row>
    <row r="122" spans="1:7" ht="15" customHeight="1" x14ac:dyDescent="0.2">
      <c r="A122" t="str">
        <f>Andata!S32</f>
        <v>Cagliari</v>
      </c>
      <c r="B122" t="str">
        <f>IF(Andata!T32="","",Andata!T32)</f>
        <v/>
      </c>
      <c r="C122" t="str">
        <f>IF(Andata!U32="","",Andata!U32)</f>
        <v/>
      </c>
      <c r="D122" t="str">
        <f>Andata!V32</f>
        <v>Milan</v>
      </c>
      <c r="E122" t="str">
        <f t="shared" si="14"/>
        <v/>
      </c>
      <c r="F122" t="str">
        <f t="shared" si="15"/>
        <v/>
      </c>
      <c r="G122">
        <f t="shared" si="16"/>
        <v>0</v>
      </c>
    </row>
    <row r="123" spans="1:7" ht="15" customHeight="1" x14ac:dyDescent="0.2">
      <c r="A123" t="str">
        <f>Andata!S33</f>
        <v>Como</v>
      </c>
      <c r="B123" t="str">
        <f>IF(Andata!T33="","",Andata!T33)</f>
        <v/>
      </c>
      <c r="C123" t="str">
        <f>IF(Andata!U33="","",Andata!U33)</f>
        <v/>
      </c>
      <c r="D123" t="str">
        <f>Andata!V33</f>
        <v>Juventus</v>
      </c>
      <c r="E123" t="str">
        <f t="shared" si="14"/>
        <v/>
      </c>
      <c r="F123" t="str">
        <f t="shared" si="15"/>
        <v/>
      </c>
      <c r="G123">
        <f t="shared" si="16"/>
        <v>0</v>
      </c>
    </row>
    <row r="124" spans="1:7" ht="15" customHeight="1" x14ac:dyDescent="0.2">
      <c r="A124" t="str">
        <f>Andata!S34</f>
        <v>Frosinone</v>
      </c>
      <c r="B124" t="str">
        <f>IF(Andata!T34="","",Andata!T34)</f>
        <v/>
      </c>
      <c r="C124" t="str">
        <f>IF(Andata!U34="","",Andata!U34)</f>
        <v/>
      </c>
      <c r="D124" t="str">
        <f>Andata!V34</f>
        <v>Parma</v>
      </c>
      <c r="E124" t="str">
        <f t="shared" si="14"/>
        <v/>
      </c>
      <c r="F124" t="str">
        <f t="shared" si="15"/>
        <v/>
      </c>
      <c r="G124">
        <f t="shared" si="16"/>
        <v>0</v>
      </c>
    </row>
    <row r="125" spans="1:7" ht="15" customHeight="1" x14ac:dyDescent="0.2">
      <c r="A125" t="str">
        <f>Andata!S35</f>
        <v>Inter</v>
      </c>
      <c r="B125" t="str">
        <f>IF(Andata!T35="","",Andata!T35)</f>
        <v/>
      </c>
      <c r="C125" t="str">
        <f>IF(Andata!U35="","",Andata!U35)</f>
        <v/>
      </c>
      <c r="D125" t="str">
        <f>Andata!V35</f>
        <v>Genoa</v>
      </c>
      <c r="E125" t="str">
        <f t="shared" si="14"/>
        <v/>
      </c>
      <c r="F125" t="str">
        <f t="shared" si="15"/>
        <v/>
      </c>
      <c r="G125">
        <f t="shared" si="16"/>
        <v>0</v>
      </c>
    </row>
    <row r="126" spans="1:7" ht="15" customHeight="1" x14ac:dyDescent="0.2">
      <c r="A126" t="str">
        <f>Andata!S36</f>
        <v>Lecce</v>
      </c>
      <c r="B126" t="str">
        <f>IF(Andata!T36="","",Andata!T36)</f>
        <v/>
      </c>
      <c r="C126" t="str">
        <f>IF(Andata!U36="","",Andata!U36)</f>
        <v/>
      </c>
      <c r="D126" t="str">
        <f>Andata!V36</f>
        <v>Atalanta</v>
      </c>
      <c r="E126" t="str">
        <f t="shared" si="14"/>
        <v/>
      </c>
      <c r="F126" t="str">
        <f t="shared" si="15"/>
        <v/>
      </c>
      <c r="G126">
        <f t="shared" si="16"/>
        <v>0</v>
      </c>
    </row>
    <row r="127" spans="1:7" ht="15" customHeight="1" x14ac:dyDescent="0.2">
      <c r="A127" t="str">
        <f>Andata!S37</f>
        <v>Roma</v>
      </c>
      <c r="B127" t="str">
        <f>IF(Andata!T37="","",Andata!T37)</f>
        <v/>
      </c>
      <c r="C127" t="str">
        <f>IF(Andata!U37="","",Andata!U37)</f>
        <v/>
      </c>
      <c r="D127" t="str">
        <f>Andata!V37</f>
        <v>Monza</v>
      </c>
      <c r="E127" t="str">
        <f t="shared" si="14"/>
        <v/>
      </c>
      <c r="F127" t="str">
        <f t="shared" si="15"/>
        <v/>
      </c>
      <c r="G127">
        <f t="shared" si="16"/>
        <v>0</v>
      </c>
    </row>
    <row r="128" spans="1:7" ht="15" customHeight="1" x14ac:dyDescent="0.2">
      <c r="A128" t="str">
        <f>Andata!S38</f>
        <v>Sassuolo</v>
      </c>
      <c r="B128" t="str">
        <f>IF(Andata!T38="","",Andata!T38)</f>
        <v/>
      </c>
      <c r="C128" t="str">
        <f>IF(Andata!U38="","",Andata!U38)</f>
        <v/>
      </c>
      <c r="D128" t="str">
        <f>Andata!V38</f>
        <v>Napoli</v>
      </c>
      <c r="E128" t="str">
        <f t="shared" si="14"/>
        <v/>
      </c>
      <c r="F128" t="str">
        <f t="shared" si="15"/>
        <v/>
      </c>
      <c r="G128">
        <f t="shared" si="16"/>
        <v>0</v>
      </c>
    </row>
    <row r="129" spans="1:7" ht="15" customHeight="1" x14ac:dyDescent="0.2">
      <c r="A129" t="str">
        <f>Andata!S39</f>
        <v>Torino</v>
      </c>
      <c r="B129" t="str">
        <f>IF(Andata!T39="","",Andata!T39)</f>
        <v/>
      </c>
      <c r="C129" t="str">
        <f>IF(Andata!U39="","",Andata!U39)</f>
        <v/>
      </c>
      <c r="D129" t="str">
        <f>Andata!V39</f>
        <v>Lazio</v>
      </c>
      <c r="E129" t="str">
        <f t="shared" si="14"/>
        <v/>
      </c>
      <c r="F129" t="str">
        <f t="shared" si="15"/>
        <v/>
      </c>
      <c r="G129">
        <f t="shared" si="16"/>
        <v>0</v>
      </c>
    </row>
    <row r="130" spans="1:7" ht="15" customHeight="1" x14ac:dyDescent="0.2">
      <c r="A130" t="str">
        <f>Andata!S40</f>
        <v>Udinese</v>
      </c>
      <c r="B130" t="str">
        <f>IF(Andata!T40="","",Andata!T40)</f>
        <v/>
      </c>
      <c r="C130" t="str">
        <f>IF(Andata!U40="","",Andata!U40)</f>
        <v/>
      </c>
      <c r="D130" t="str">
        <f>Andata!V40</f>
        <v>Fiorentina</v>
      </c>
      <c r="E130" t="str">
        <f t="shared" ref="E130:E193" si="17">IF(OR(B130="",C130=""),"",IF(B130&gt;C130,3,IF(B130=C130,1,0)))</f>
        <v/>
      </c>
      <c r="F130" t="str">
        <f t="shared" ref="F130:F193" si="18">IF(OR(B130="",C130=""),"",IF(C130&gt;B130,3,IF(B130=C130,1,0)))</f>
        <v/>
      </c>
      <c r="G130">
        <f t="shared" ref="G130:G193" si="19">IF(OR(B130="",C130=""),0,1)</f>
        <v>0</v>
      </c>
    </row>
    <row r="131" spans="1:7" ht="15" customHeight="1" x14ac:dyDescent="0.2">
      <c r="A131" t="str">
        <f>Andata!S41</f>
        <v>Venezia</v>
      </c>
      <c r="B131" t="str">
        <f>IF(Andata!T41="","",Andata!T41)</f>
        <v/>
      </c>
      <c r="C131" t="str">
        <f>IF(Andata!U41="","",Andata!U41)</f>
        <v/>
      </c>
      <c r="D131" t="str">
        <f>Andata!V41</f>
        <v>Bologna</v>
      </c>
      <c r="E131" t="str">
        <f t="shared" si="17"/>
        <v/>
      </c>
      <c r="F131" t="str">
        <f t="shared" si="18"/>
        <v/>
      </c>
      <c r="G131">
        <f t="shared" si="19"/>
        <v>0</v>
      </c>
    </row>
    <row r="132" spans="1:7" ht="15" customHeight="1" x14ac:dyDescent="0.2">
      <c r="A132" t="str">
        <f>Andata!Y32</f>
        <v>Bologna</v>
      </c>
      <c r="B132" t="str">
        <f>IF(Andata!Z32="","",Andata!Z32)</f>
        <v/>
      </c>
      <c r="C132" t="str">
        <f>IF(Andata!AA32="","",Andata!AA32)</f>
        <v/>
      </c>
      <c r="D132" t="str">
        <f>Andata!AB32</f>
        <v>Roma</v>
      </c>
      <c r="E132" t="str">
        <f t="shared" si="17"/>
        <v/>
      </c>
      <c r="F132" t="str">
        <f t="shared" si="18"/>
        <v/>
      </c>
      <c r="G132">
        <f t="shared" si="19"/>
        <v>0</v>
      </c>
    </row>
    <row r="133" spans="1:7" ht="15" customHeight="1" x14ac:dyDescent="0.2">
      <c r="A133" t="str">
        <f>Andata!Y33</f>
        <v>Fiorentina</v>
      </c>
      <c r="B133" t="str">
        <f>IF(Andata!Z33="","",Andata!Z33)</f>
        <v/>
      </c>
      <c r="C133" t="str">
        <f>IF(Andata!AA33="","",Andata!AA33)</f>
        <v/>
      </c>
      <c r="D133" t="str">
        <f>Andata!AB33</f>
        <v>Cagliari</v>
      </c>
      <c r="E133" t="str">
        <f t="shared" si="17"/>
        <v/>
      </c>
      <c r="F133" t="str">
        <f t="shared" si="18"/>
        <v/>
      </c>
      <c r="G133">
        <f t="shared" si="19"/>
        <v>0</v>
      </c>
    </row>
    <row r="134" spans="1:7" ht="15" customHeight="1" x14ac:dyDescent="0.2">
      <c r="A134" t="str">
        <f>Andata!Y34</f>
        <v>Frosinone</v>
      </c>
      <c r="B134" t="str">
        <f>IF(Andata!Z34="","",Andata!Z34)</f>
        <v/>
      </c>
      <c r="C134" t="str">
        <f>IF(Andata!AA34="","",Andata!AA34)</f>
        <v/>
      </c>
      <c r="D134" t="str">
        <f>Andata!AB34</f>
        <v>Inter</v>
      </c>
      <c r="E134" t="str">
        <f t="shared" si="17"/>
        <v/>
      </c>
      <c r="F134" t="str">
        <f t="shared" si="18"/>
        <v/>
      </c>
      <c r="G134">
        <f t="shared" si="19"/>
        <v>0</v>
      </c>
    </row>
    <row r="135" spans="1:7" ht="15" customHeight="1" x14ac:dyDescent="0.2">
      <c r="A135" t="str">
        <f>Andata!Y35</f>
        <v>Genoa</v>
      </c>
      <c r="B135" t="str">
        <f>IF(Andata!Z35="","",Andata!Z35)</f>
        <v/>
      </c>
      <c r="C135" t="str">
        <f>IF(Andata!AA35="","",Andata!AA35)</f>
        <v/>
      </c>
      <c r="D135" t="str">
        <f>Andata!AB35</f>
        <v>Torino</v>
      </c>
      <c r="E135" t="str">
        <f t="shared" si="17"/>
        <v/>
      </c>
      <c r="F135" t="str">
        <f t="shared" si="18"/>
        <v/>
      </c>
      <c r="G135">
        <f t="shared" si="19"/>
        <v>0</v>
      </c>
    </row>
    <row r="136" spans="1:7" ht="15" customHeight="1" x14ac:dyDescent="0.2">
      <c r="A136" t="str">
        <f>Andata!Y36</f>
        <v>Juventus</v>
      </c>
      <c r="B136" t="str">
        <f>IF(Andata!Z36="","",Andata!Z36)</f>
        <v/>
      </c>
      <c r="C136" t="str">
        <f>IF(Andata!AA36="","",Andata!AA36)</f>
        <v/>
      </c>
      <c r="D136" t="str">
        <f>Andata!AB36</f>
        <v>Udinese</v>
      </c>
      <c r="E136" t="str">
        <f t="shared" si="17"/>
        <v/>
      </c>
      <c r="F136" t="str">
        <f t="shared" si="18"/>
        <v/>
      </c>
      <c r="G136">
        <f t="shared" si="19"/>
        <v>0</v>
      </c>
    </row>
    <row r="137" spans="1:7" ht="15" customHeight="1" x14ac:dyDescent="0.2">
      <c r="A137" t="str">
        <f>Andata!Y37</f>
        <v>Lazio</v>
      </c>
      <c r="B137" t="str">
        <f>IF(Andata!Z37="","",Andata!Z37)</f>
        <v/>
      </c>
      <c r="C137" t="str">
        <f>IF(Andata!AA37="","",Andata!AA37)</f>
        <v/>
      </c>
      <c r="D137" t="str">
        <f>Andata!AB37</f>
        <v>Atalanta</v>
      </c>
      <c r="E137" t="str">
        <f t="shared" si="17"/>
        <v/>
      </c>
      <c r="F137" t="str">
        <f t="shared" si="18"/>
        <v/>
      </c>
      <c r="G137">
        <f t="shared" si="19"/>
        <v>0</v>
      </c>
    </row>
    <row r="138" spans="1:7" ht="15" customHeight="1" x14ac:dyDescent="0.2">
      <c r="A138" t="str">
        <f>Andata!Y38</f>
        <v>Milan</v>
      </c>
      <c r="B138" t="str">
        <f>IF(Andata!Z38="","",Andata!Z38)</f>
        <v/>
      </c>
      <c r="C138" t="str">
        <f>IF(Andata!AA38="","",Andata!AA38)</f>
        <v/>
      </c>
      <c r="D138" t="str">
        <f>Andata!AB38</f>
        <v>Parma</v>
      </c>
      <c r="E138" t="str">
        <f t="shared" si="17"/>
        <v/>
      </c>
      <c r="F138" t="str">
        <f t="shared" si="18"/>
        <v/>
      </c>
      <c r="G138">
        <f t="shared" si="19"/>
        <v>0</v>
      </c>
    </row>
    <row r="139" spans="1:7" ht="15" customHeight="1" x14ac:dyDescent="0.2">
      <c r="A139" t="str">
        <f>Andata!Y39</f>
        <v>Monza</v>
      </c>
      <c r="B139" t="str">
        <f>IF(Andata!Z39="","",Andata!Z39)</f>
        <v/>
      </c>
      <c r="C139" t="str">
        <f>IF(Andata!AA39="","",Andata!AA39)</f>
        <v/>
      </c>
      <c r="D139" t="str">
        <f>Andata!AB39</f>
        <v>Como</v>
      </c>
      <c r="E139" t="str">
        <f t="shared" si="17"/>
        <v/>
      </c>
      <c r="F139" t="str">
        <f t="shared" si="18"/>
        <v/>
      </c>
      <c r="G139">
        <f t="shared" si="19"/>
        <v>0</v>
      </c>
    </row>
    <row r="140" spans="1:7" ht="15" customHeight="1" x14ac:dyDescent="0.2">
      <c r="A140" t="str">
        <f>Andata!Y40</f>
        <v>Napoli</v>
      </c>
      <c r="B140" t="str">
        <f>IF(Andata!Z40="","",Andata!Z40)</f>
        <v/>
      </c>
      <c r="C140" t="str">
        <f>IF(Andata!AA40="","",Andata!AA40)</f>
        <v/>
      </c>
      <c r="D140" t="str">
        <f>Andata!AB40</f>
        <v>Lecce</v>
      </c>
      <c r="E140" t="str">
        <f t="shared" si="17"/>
        <v/>
      </c>
      <c r="F140" t="str">
        <f t="shared" si="18"/>
        <v/>
      </c>
      <c r="G140">
        <f t="shared" si="19"/>
        <v>0</v>
      </c>
    </row>
    <row r="141" spans="1:7" ht="15" customHeight="1" x14ac:dyDescent="0.2">
      <c r="A141" t="str">
        <f>Andata!Y41</f>
        <v>Venezia</v>
      </c>
      <c r="B141" t="str">
        <f>IF(Andata!Z41="","",Andata!Z41)</f>
        <v/>
      </c>
      <c r="C141" t="str">
        <f>IF(Andata!AA41="","",Andata!AA41)</f>
        <v/>
      </c>
      <c r="D141" t="str">
        <f>Andata!AB41</f>
        <v>Sassuolo</v>
      </c>
      <c r="E141" t="str">
        <f t="shared" si="17"/>
        <v/>
      </c>
      <c r="F141" t="str">
        <f t="shared" si="18"/>
        <v/>
      </c>
      <c r="G141">
        <f t="shared" si="19"/>
        <v>0</v>
      </c>
    </row>
    <row r="142" spans="1:7" ht="15" customHeight="1" x14ac:dyDescent="0.2">
      <c r="A142" t="str">
        <f>Andata!A46</f>
        <v>Atalanta</v>
      </c>
      <c r="B142" t="str">
        <f>IF(Andata!B46="","",Andata!B46)</f>
        <v/>
      </c>
      <c r="C142" t="str">
        <f>IF(Andata!C46="","",Andata!C46)</f>
        <v/>
      </c>
      <c r="D142" t="str">
        <f>Andata!D46</f>
        <v>Genoa</v>
      </c>
      <c r="E142" t="str">
        <f t="shared" si="17"/>
        <v/>
      </c>
      <c r="F142" t="str">
        <f t="shared" si="18"/>
        <v/>
      </c>
      <c r="G142">
        <f t="shared" si="19"/>
        <v>0</v>
      </c>
    </row>
    <row r="143" spans="1:7" ht="15" customHeight="1" x14ac:dyDescent="0.2">
      <c r="A143" t="str">
        <f>Andata!A47</f>
        <v>Cagliari</v>
      </c>
      <c r="B143" t="str">
        <f>IF(Andata!B47="","",Andata!B47)</f>
        <v/>
      </c>
      <c r="C143" t="str">
        <f>IF(Andata!C47="","",Andata!C47)</f>
        <v/>
      </c>
      <c r="D143" t="str">
        <f>Andata!D47</f>
        <v>Venezia</v>
      </c>
      <c r="E143" t="str">
        <f t="shared" si="17"/>
        <v/>
      </c>
      <c r="F143" t="str">
        <f t="shared" si="18"/>
        <v/>
      </c>
      <c r="G143">
        <f t="shared" si="19"/>
        <v>0</v>
      </c>
    </row>
    <row r="144" spans="1:7" ht="15" customHeight="1" x14ac:dyDescent="0.2">
      <c r="A144" t="str">
        <f>Andata!A48</f>
        <v>Como</v>
      </c>
      <c r="B144" t="str">
        <f>IF(Andata!B48="","",Andata!B48)</f>
        <v/>
      </c>
      <c r="C144" t="str">
        <f>IF(Andata!C48="","",Andata!C48)</f>
        <v/>
      </c>
      <c r="D144" t="str">
        <f>Andata!D48</f>
        <v>Bologna</v>
      </c>
      <c r="E144" t="str">
        <f t="shared" si="17"/>
        <v/>
      </c>
      <c r="F144" t="str">
        <f t="shared" si="18"/>
        <v/>
      </c>
      <c r="G144">
        <f t="shared" si="19"/>
        <v>0</v>
      </c>
    </row>
    <row r="145" spans="1:7" ht="15" customHeight="1" x14ac:dyDescent="0.2">
      <c r="A145" t="str">
        <f>Andata!A49</f>
        <v>Inter</v>
      </c>
      <c r="B145" t="str">
        <f>IF(Andata!B49="","",Andata!B49)</f>
        <v/>
      </c>
      <c r="C145" t="str">
        <f>IF(Andata!C49="","",Andata!C49)</f>
        <v/>
      </c>
      <c r="D145" t="str">
        <f>Andata!D49</f>
        <v>Torino</v>
      </c>
      <c r="E145" t="str">
        <f t="shared" si="17"/>
        <v/>
      </c>
      <c r="F145" t="str">
        <f t="shared" si="18"/>
        <v/>
      </c>
      <c r="G145">
        <f t="shared" si="19"/>
        <v>0</v>
      </c>
    </row>
    <row r="146" spans="1:7" ht="15" customHeight="1" x14ac:dyDescent="0.2">
      <c r="A146" t="str">
        <f>Andata!A50</f>
        <v>Juventus</v>
      </c>
      <c r="B146" t="str">
        <f>IF(Andata!B50="","",Andata!B50)</f>
        <v/>
      </c>
      <c r="C146" t="str">
        <f>IF(Andata!C50="","",Andata!C50)</f>
        <v/>
      </c>
      <c r="D146" t="str">
        <f>Andata!D50</f>
        <v>Monza</v>
      </c>
      <c r="E146" t="str">
        <f t="shared" si="17"/>
        <v/>
      </c>
      <c r="F146" t="str">
        <f t="shared" si="18"/>
        <v/>
      </c>
      <c r="G146">
        <f t="shared" si="19"/>
        <v>0</v>
      </c>
    </row>
    <row r="147" spans="1:7" ht="15" customHeight="1" x14ac:dyDescent="0.2">
      <c r="A147" t="str">
        <f>Andata!A51</f>
        <v>Lazio</v>
      </c>
      <c r="B147" t="str">
        <f>IF(Andata!B51="","",Andata!B51)</f>
        <v/>
      </c>
      <c r="C147" t="str">
        <f>IF(Andata!C51="","",Andata!C51)</f>
        <v/>
      </c>
      <c r="D147" t="str">
        <f>Andata!D51</f>
        <v>Roma</v>
      </c>
      <c r="E147" t="str">
        <f t="shared" si="17"/>
        <v/>
      </c>
      <c r="F147" t="str">
        <f t="shared" si="18"/>
        <v/>
      </c>
      <c r="G147">
        <f t="shared" si="19"/>
        <v>0</v>
      </c>
    </row>
    <row r="148" spans="1:7" ht="15" customHeight="1" x14ac:dyDescent="0.2">
      <c r="A148" t="str">
        <f>Andata!A52</f>
        <v>Lecce</v>
      </c>
      <c r="B148" t="str">
        <f>IF(Andata!B52="","",Andata!B52)</f>
        <v/>
      </c>
      <c r="C148" t="str">
        <f>IF(Andata!C52="","",Andata!C52)</f>
        <v/>
      </c>
      <c r="D148" t="str">
        <f>Andata!D52</f>
        <v>Sassuolo</v>
      </c>
      <c r="E148" t="str">
        <f t="shared" si="17"/>
        <v/>
      </c>
      <c r="F148" t="str">
        <f t="shared" si="18"/>
        <v/>
      </c>
      <c r="G148">
        <f t="shared" si="19"/>
        <v>0</v>
      </c>
    </row>
    <row r="149" spans="1:7" ht="15" customHeight="1" x14ac:dyDescent="0.2">
      <c r="A149" t="str">
        <f>Andata!A53</f>
        <v>Napoli</v>
      </c>
      <c r="B149" t="str">
        <f>IF(Andata!B53="","",Andata!B53)</f>
        <v/>
      </c>
      <c r="C149" t="str">
        <f>IF(Andata!C53="","",Andata!C53)</f>
        <v/>
      </c>
      <c r="D149" t="str">
        <f>Andata!D53</f>
        <v>Milan</v>
      </c>
      <c r="E149" t="str">
        <f t="shared" si="17"/>
        <v/>
      </c>
      <c r="F149" t="str">
        <f t="shared" si="18"/>
        <v/>
      </c>
      <c r="G149">
        <f t="shared" si="19"/>
        <v>0</v>
      </c>
    </row>
    <row r="150" spans="1:7" ht="15" customHeight="1" x14ac:dyDescent="0.2">
      <c r="A150" t="str">
        <f>Andata!A54</f>
        <v>Parma</v>
      </c>
      <c r="B150" t="str">
        <f>IF(Andata!B54="","",Andata!B54)</f>
        <v/>
      </c>
      <c r="C150" t="str">
        <f>IF(Andata!C54="","",Andata!C54)</f>
        <v/>
      </c>
      <c r="D150" t="str">
        <f>Andata!D54</f>
        <v>Fiorentina</v>
      </c>
      <c r="E150" t="str">
        <f t="shared" si="17"/>
        <v/>
      </c>
      <c r="F150" t="str">
        <f t="shared" si="18"/>
        <v/>
      </c>
      <c r="G150">
        <f t="shared" si="19"/>
        <v>0</v>
      </c>
    </row>
    <row r="151" spans="1:7" ht="15" customHeight="1" x14ac:dyDescent="0.2">
      <c r="A151" t="str">
        <f>Andata!A55</f>
        <v>Udinese</v>
      </c>
      <c r="B151" t="str">
        <f>IF(Andata!B55="","",Andata!B55)</f>
        <v/>
      </c>
      <c r="C151" t="str">
        <f>IF(Andata!C55="","",Andata!C55)</f>
        <v/>
      </c>
      <c r="D151" t="str">
        <f>Andata!D55</f>
        <v>Frosinone</v>
      </c>
      <c r="E151" t="str">
        <f t="shared" si="17"/>
        <v/>
      </c>
      <c r="F151" t="str">
        <f t="shared" si="18"/>
        <v/>
      </c>
      <c r="G151">
        <f t="shared" si="19"/>
        <v>0</v>
      </c>
    </row>
    <row r="152" spans="1:7" ht="15" customHeight="1" x14ac:dyDescent="0.2">
      <c r="A152" t="str">
        <f>Andata!G46</f>
        <v>Atalanta</v>
      </c>
      <c r="B152" t="str">
        <f>IF(Andata!H46="","",Andata!H46)</f>
        <v/>
      </c>
      <c r="C152" t="str">
        <f>IF(Andata!I46="","",Andata!I46)</f>
        <v/>
      </c>
      <c r="D152" t="str">
        <f>Andata!J46</f>
        <v>Napoli</v>
      </c>
      <c r="E152" t="str">
        <f t="shared" si="17"/>
        <v/>
      </c>
      <c r="F152" t="str">
        <f t="shared" si="18"/>
        <v/>
      </c>
      <c r="G152">
        <f t="shared" si="19"/>
        <v>0</v>
      </c>
    </row>
    <row r="153" spans="1:7" ht="15" customHeight="1" x14ac:dyDescent="0.2">
      <c r="A153" t="str">
        <f>Andata!G47</f>
        <v>Fiorentina</v>
      </c>
      <c r="B153" t="str">
        <f>IF(Andata!H47="","",Andata!H47)</f>
        <v/>
      </c>
      <c r="C153" t="str">
        <f>IF(Andata!I47="","",Andata!I47)</f>
        <v/>
      </c>
      <c r="D153" t="str">
        <f>Andata!J47</f>
        <v>Bologna</v>
      </c>
      <c r="E153" t="str">
        <f t="shared" si="17"/>
        <v/>
      </c>
      <c r="F153" t="str">
        <f t="shared" si="18"/>
        <v/>
      </c>
      <c r="G153">
        <f t="shared" si="19"/>
        <v>0</v>
      </c>
    </row>
    <row r="154" spans="1:7" ht="15" customHeight="1" x14ac:dyDescent="0.2">
      <c r="A154" t="str">
        <f>Andata!G48</f>
        <v>Frosinone</v>
      </c>
      <c r="B154" t="str">
        <f>IF(Andata!H48="","",Andata!H48)</f>
        <v/>
      </c>
      <c r="C154" t="str">
        <f>IF(Andata!I48="","",Andata!I48)</f>
        <v/>
      </c>
      <c r="D154" t="str">
        <f>Andata!J48</f>
        <v>Lazio</v>
      </c>
      <c r="E154" t="str">
        <f t="shared" si="17"/>
        <v/>
      </c>
      <c r="F154" t="str">
        <f t="shared" si="18"/>
        <v/>
      </c>
      <c r="G154">
        <f t="shared" si="19"/>
        <v>0</v>
      </c>
    </row>
    <row r="155" spans="1:7" ht="15" customHeight="1" x14ac:dyDescent="0.2">
      <c r="A155" t="str">
        <f>Andata!G49</f>
        <v>Genoa</v>
      </c>
      <c r="B155" t="str">
        <f>IF(Andata!H49="","",Andata!H49)</f>
        <v/>
      </c>
      <c r="C155" t="str">
        <f>IF(Andata!I49="","",Andata!I49)</f>
        <v/>
      </c>
      <c r="D155" t="str">
        <f>Andata!J49</f>
        <v>Udinese</v>
      </c>
      <c r="E155" t="str">
        <f t="shared" si="17"/>
        <v/>
      </c>
      <c r="F155" t="str">
        <f t="shared" si="18"/>
        <v/>
      </c>
      <c r="G155">
        <f t="shared" si="19"/>
        <v>0</v>
      </c>
    </row>
    <row r="156" spans="1:7" ht="15" customHeight="1" x14ac:dyDescent="0.2">
      <c r="A156" t="str">
        <f>Andata!G50</f>
        <v>Lecce</v>
      </c>
      <c r="B156" t="str">
        <f>IF(Andata!H50="","",Andata!H50)</f>
        <v/>
      </c>
      <c r="C156" t="str">
        <f>IF(Andata!I50="","",Andata!I50)</f>
        <v/>
      </c>
      <c r="D156" t="str">
        <f>Andata!J50</f>
        <v>Inter</v>
      </c>
      <c r="E156" t="str">
        <f t="shared" si="17"/>
        <v/>
      </c>
      <c r="F156" t="str">
        <f t="shared" si="18"/>
        <v/>
      </c>
      <c r="G156">
        <f t="shared" si="19"/>
        <v>0</v>
      </c>
    </row>
    <row r="157" spans="1:7" ht="15" customHeight="1" x14ac:dyDescent="0.2">
      <c r="A157" t="str">
        <f>Andata!G51</f>
        <v>Milan</v>
      </c>
      <c r="B157" t="str">
        <f>IF(Andata!H51="","",Andata!H51)</f>
        <v/>
      </c>
      <c r="C157" t="str">
        <f>IF(Andata!I51="","",Andata!I51)</f>
        <v/>
      </c>
      <c r="D157" t="str">
        <f>Andata!J51</f>
        <v>Como</v>
      </c>
      <c r="E157" t="str">
        <f t="shared" si="17"/>
        <v/>
      </c>
      <c r="F157" t="str">
        <f t="shared" si="18"/>
        <v/>
      </c>
      <c r="G157">
        <f t="shared" si="19"/>
        <v>0</v>
      </c>
    </row>
    <row r="158" spans="1:7" ht="15" customHeight="1" x14ac:dyDescent="0.2">
      <c r="A158" t="str">
        <f>Andata!G52</f>
        <v>Roma</v>
      </c>
      <c r="B158" t="str">
        <f>IF(Andata!H52="","",Andata!H52)</f>
        <v/>
      </c>
      <c r="C158" t="str">
        <f>IF(Andata!I52="","",Andata!I52)</f>
        <v/>
      </c>
      <c r="D158" t="str">
        <f>Andata!J52</f>
        <v>Juventus</v>
      </c>
      <c r="E158" t="str">
        <f t="shared" si="17"/>
        <v/>
      </c>
      <c r="F158" t="str">
        <f t="shared" si="18"/>
        <v/>
      </c>
      <c r="G158">
        <f t="shared" si="19"/>
        <v>0</v>
      </c>
    </row>
    <row r="159" spans="1:7" ht="15" customHeight="1" x14ac:dyDescent="0.2">
      <c r="A159" t="str">
        <f>Andata!G53</f>
        <v>Sassuolo</v>
      </c>
      <c r="B159" t="str">
        <f>IF(Andata!H53="","",Andata!H53)</f>
        <v/>
      </c>
      <c r="C159" t="str">
        <f>IF(Andata!I53="","",Andata!I53)</f>
        <v/>
      </c>
      <c r="D159" t="str">
        <f>Andata!J53</f>
        <v>Parma</v>
      </c>
      <c r="E159" t="str">
        <f t="shared" si="17"/>
        <v/>
      </c>
      <c r="F159" t="str">
        <f t="shared" si="18"/>
        <v/>
      </c>
      <c r="G159">
        <f t="shared" si="19"/>
        <v>0</v>
      </c>
    </row>
    <row r="160" spans="1:7" ht="15" customHeight="1" x14ac:dyDescent="0.2">
      <c r="A160" t="str">
        <f>Andata!G54</f>
        <v>Torino</v>
      </c>
      <c r="B160" t="str">
        <f>IF(Andata!H54="","",Andata!H54)</f>
        <v/>
      </c>
      <c r="C160" t="str">
        <f>IF(Andata!I54="","",Andata!I54)</f>
        <v/>
      </c>
      <c r="D160" t="str">
        <f>Andata!J54</f>
        <v>Cagliari</v>
      </c>
      <c r="E160" t="str">
        <f t="shared" si="17"/>
        <v/>
      </c>
      <c r="F160" t="str">
        <f t="shared" si="18"/>
        <v/>
      </c>
      <c r="G160">
        <f t="shared" si="19"/>
        <v>0</v>
      </c>
    </row>
    <row r="161" spans="1:7" ht="15" customHeight="1" x14ac:dyDescent="0.2">
      <c r="A161" t="str">
        <f>Andata!G55</f>
        <v>Venezia</v>
      </c>
      <c r="B161" t="str">
        <f>IF(Andata!H55="","",Andata!H55)</f>
        <v/>
      </c>
      <c r="C161" t="str">
        <f>IF(Andata!I55="","",Andata!I55)</f>
        <v/>
      </c>
      <c r="D161" t="str">
        <f>Andata!J55</f>
        <v>Monza</v>
      </c>
      <c r="E161" t="str">
        <f t="shared" si="17"/>
        <v/>
      </c>
      <c r="F161" t="str">
        <f t="shared" si="18"/>
        <v/>
      </c>
      <c r="G161">
        <f t="shared" si="19"/>
        <v>0</v>
      </c>
    </row>
    <row r="162" spans="1:7" ht="15" customHeight="1" x14ac:dyDescent="0.2">
      <c r="A162" t="str">
        <f>Andata!M46</f>
        <v>Bologna</v>
      </c>
      <c r="B162" t="str">
        <f>IF(Andata!N46="","",Andata!N46)</f>
        <v/>
      </c>
      <c r="C162" t="str">
        <f>IF(Andata!O46="","",Andata!O46)</f>
        <v/>
      </c>
      <c r="D162" t="str">
        <f>Andata!P46</f>
        <v>Juventus</v>
      </c>
      <c r="E162" t="str">
        <f t="shared" si="17"/>
        <v/>
      </c>
      <c r="F162" t="str">
        <f t="shared" si="18"/>
        <v/>
      </c>
      <c r="G162">
        <f t="shared" si="19"/>
        <v>0</v>
      </c>
    </row>
    <row r="163" spans="1:7" ht="15" customHeight="1" x14ac:dyDescent="0.2">
      <c r="A163" t="str">
        <f>Andata!M47</f>
        <v>Cagliari</v>
      </c>
      <c r="B163" t="str">
        <f>IF(Andata!N47="","",Andata!N47)</f>
        <v/>
      </c>
      <c r="C163" t="str">
        <f>IF(Andata!O47="","",Andata!O47)</f>
        <v/>
      </c>
      <c r="D163" t="str">
        <f>Andata!P47</f>
        <v>Genoa</v>
      </c>
      <c r="E163" t="str">
        <f t="shared" si="17"/>
        <v/>
      </c>
      <c r="F163" t="str">
        <f t="shared" si="18"/>
        <v/>
      </c>
      <c r="G163">
        <f t="shared" si="19"/>
        <v>0</v>
      </c>
    </row>
    <row r="164" spans="1:7" ht="15" customHeight="1" x14ac:dyDescent="0.2">
      <c r="A164" t="str">
        <f>Andata!M48</f>
        <v>Como</v>
      </c>
      <c r="B164" t="str">
        <f>IF(Andata!N48="","",Andata!N48)</f>
        <v/>
      </c>
      <c r="C164" t="str">
        <f>IF(Andata!O48="","",Andata!O48)</f>
        <v/>
      </c>
      <c r="D164" t="str">
        <f>Andata!P48</f>
        <v>Lecce</v>
      </c>
      <c r="E164" t="str">
        <f t="shared" si="17"/>
        <v/>
      </c>
      <c r="F164" t="str">
        <f t="shared" si="18"/>
        <v/>
      </c>
      <c r="G164">
        <f t="shared" si="19"/>
        <v>0</v>
      </c>
    </row>
    <row r="165" spans="1:7" ht="15" customHeight="1" x14ac:dyDescent="0.2">
      <c r="A165" t="str">
        <f>Andata!M49</f>
        <v>Fiorentina</v>
      </c>
      <c r="B165" t="str">
        <f>IF(Andata!N49="","",Andata!N49)</f>
        <v/>
      </c>
      <c r="C165" t="str">
        <f>IF(Andata!O49="","",Andata!O49)</f>
        <v/>
      </c>
      <c r="D165" t="str">
        <f>Andata!P49</f>
        <v>Lazio</v>
      </c>
      <c r="E165" t="str">
        <f t="shared" si="17"/>
        <v/>
      </c>
      <c r="F165" t="str">
        <f t="shared" si="18"/>
        <v/>
      </c>
      <c r="G165">
        <f t="shared" si="19"/>
        <v>0</v>
      </c>
    </row>
    <row r="166" spans="1:7" ht="15" customHeight="1" x14ac:dyDescent="0.2">
      <c r="A166" t="str">
        <f>Andata!M50</f>
        <v>Inter</v>
      </c>
      <c r="B166" t="str">
        <f>IF(Andata!N50="","",Andata!N50)</f>
        <v/>
      </c>
      <c r="C166" t="str">
        <f>IF(Andata!O50="","",Andata!O50)</f>
        <v/>
      </c>
      <c r="D166" t="str">
        <f>Andata!P50</f>
        <v>Sassuolo</v>
      </c>
      <c r="E166" t="str">
        <f t="shared" si="17"/>
        <v/>
      </c>
      <c r="F166" t="str">
        <f t="shared" si="18"/>
        <v/>
      </c>
      <c r="G166">
        <f t="shared" si="19"/>
        <v>0</v>
      </c>
    </row>
    <row r="167" spans="1:7" ht="15" customHeight="1" x14ac:dyDescent="0.2">
      <c r="A167" t="str">
        <f>Andata!M51</f>
        <v>Monza</v>
      </c>
      <c r="B167" t="str">
        <f>IF(Andata!N51="","",Andata!N51)</f>
        <v/>
      </c>
      <c r="C167" t="str">
        <f>IF(Andata!O51="","",Andata!O51)</f>
        <v/>
      </c>
      <c r="D167" t="str">
        <f>Andata!P51</f>
        <v>Milan</v>
      </c>
      <c r="E167" t="str">
        <f t="shared" si="17"/>
        <v/>
      </c>
      <c r="F167" t="str">
        <f t="shared" si="18"/>
        <v/>
      </c>
      <c r="G167">
        <f t="shared" si="19"/>
        <v>0</v>
      </c>
    </row>
    <row r="168" spans="1:7" ht="15" customHeight="1" x14ac:dyDescent="0.2">
      <c r="A168" t="str">
        <f>Andata!M52</f>
        <v>Parma</v>
      </c>
      <c r="B168" t="str">
        <f>IF(Andata!N52="","",Andata!N52)</f>
        <v/>
      </c>
      <c r="C168" t="str">
        <f>IF(Andata!O52="","",Andata!O52)</f>
        <v/>
      </c>
      <c r="D168" t="str">
        <f>Andata!P52</f>
        <v>Napoli</v>
      </c>
      <c r="E168" t="str">
        <f t="shared" si="17"/>
        <v/>
      </c>
      <c r="F168" t="str">
        <f t="shared" si="18"/>
        <v/>
      </c>
      <c r="G168">
        <f t="shared" si="19"/>
        <v>0</v>
      </c>
    </row>
    <row r="169" spans="1:7" ht="15" customHeight="1" x14ac:dyDescent="0.2">
      <c r="A169" t="str">
        <f>Andata!M53</f>
        <v>Roma</v>
      </c>
      <c r="B169" t="str">
        <f>IF(Andata!N53="","",Andata!N53)</f>
        <v/>
      </c>
      <c r="C169" t="str">
        <f>IF(Andata!O53="","",Andata!O53)</f>
        <v/>
      </c>
      <c r="D169" t="str">
        <f>Andata!P53</f>
        <v>Frosinone</v>
      </c>
      <c r="E169" t="str">
        <f t="shared" si="17"/>
        <v/>
      </c>
      <c r="F169" t="str">
        <f t="shared" si="18"/>
        <v/>
      </c>
      <c r="G169">
        <f t="shared" si="19"/>
        <v>0</v>
      </c>
    </row>
    <row r="170" spans="1:7" ht="15" customHeight="1" x14ac:dyDescent="0.2">
      <c r="A170" t="str">
        <f>Andata!M54</f>
        <v>Torino</v>
      </c>
      <c r="B170" t="str">
        <f>IF(Andata!N54="","",Andata!N54)</f>
        <v/>
      </c>
      <c r="C170" t="str">
        <f>IF(Andata!O54="","",Andata!O54)</f>
        <v/>
      </c>
      <c r="D170" t="str">
        <f>Andata!P54</f>
        <v>Venezia</v>
      </c>
      <c r="E170" t="str">
        <f t="shared" si="17"/>
        <v/>
      </c>
      <c r="F170" t="str">
        <f t="shared" si="18"/>
        <v/>
      </c>
      <c r="G170">
        <f t="shared" si="19"/>
        <v>0</v>
      </c>
    </row>
    <row r="171" spans="1:7" ht="15" customHeight="1" x14ac:dyDescent="0.2">
      <c r="A171" t="str">
        <f>Andata!M55</f>
        <v>Udinese</v>
      </c>
      <c r="B171" t="str">
        <f>IF(Andata!N55="","",Andata!N55)</f>
        <v/>
      </c>
      <c r="C171" t="str">
        <f>IF(Andata!O55="","",Andata!O55)</f>
        <v/>
      </c>
      <c r="D171" t="str">
        <f>Andata!P55</f>
        <v>Atalanta</v>
      </c>
      <c r="E171" t="str">
        <f t="shared" si="17"/>
        <v/>
      </c>
      <c r="F171" t="str">
        <f t="shared" si="18"/>
        <v/>
      </c>
      <c r="G171">
        <f t="shared" si="19"/>
        <v>0</v>
      </c>
    </row>
    <row r="172" spans="1:7" ht="15" customHeight="1" x14ac:dyDescent="0.2">
      <c r="A172" t="str">
        <f>Andata!S46</f>
        <v>Atalanta</v>
      </c>
      <c r="B172" t="str">
        <f>IF(Andata!T46="","",Andata!T46)</f>
        <v/>
      </c>
      <c r="C172" t="str">
        <f>IF(Andata!U46="","",Andata!U46)</f>
        <v/>
      </c>
      <c r="D172" t="str">
        <f>Andata!V46</f>
        <v>Como</v>
      </c>
      <c r="E172" t="str">
        <f t="shared" si="17"/>
        <v/>
      </c>
      <c r="F172" t="str">
        <f t="shared" si="18"/>
        <v/>
      </c>
      <c r="G172">
        <f t="shared" si="19"/>
        <v>0</v>
      </c>
    </row>
    <row r="173" spans="1:7" ht="15" customHeight="1" x14ac:dyDescent="0.2">
      <c r="A173" t="str">
        <f>Andata!S47</f>
        <v>Frosinone</v>
      </c>
      <c r="B173" t="str">
        <f>IF(Andata!T47="","",Andata!T47)</f>
        <v/>
      </c>
      <c r="C173" t="str">
        <f>IF(Andata!U47="","",Andata!U47)</f>
        <v/>
      </c>
      <c r="D173" t="str">
        <f>Andata!V47</f>
        <v>Bologna</v>
      </c>
      <c r="E173" t="str">
        <f t="shared" si="17"/>
        <v/>
      </c>
      <c r="F173" t="str">
        <f t="shared" si="18"/>
        <v/>
      </c>
      <c r="G173">
        <f t="shared" si="19"/>
        <v>0</v>
      </c>
    </row>
    <row r="174" spans="1:7" ht="15" customHeight="1" x14ac:dyDescent="0.2">
      <c r="A174" t="str">
        <f>Andata!S48</f>
        <v>Genoa</v>
      </c>
      <c r="B174" t="str">
        <f>IF(Andata!T48="","",Andata!T48)</f>
        <v/>
      </c>
      <c r="C174" t="str">
        <f>IF(Andata!U48="","",Andata!U48)</f>
        <v/>
      </c>
      <c r="D174" t="str">
        <f>Andata!V48</f>
        <v>Monza</v>
      </c>
      <c r="E174" t="str">
        <f t="shared" si="17"/>
        <v/>
      </c>
      <c r="F174" t="str">
        <f t="shared" si="18"/>
        <v/>
      </c>
      <c r="G174">
        <f t="shared" si="19"/>
        <v>0</v>
      </c>
    </row>
    <row r="175" spans="1:7" ht="15" customHeight="1" x14ac:dyDescent="0.2">
      <c r="A175" t="str">
        <f>Andata!S49</f>
        <v>Juventus</v>
      </c>
      <c r="B175" t="str">
        <f>IF(Andata!T49="","",Andata!T49)</f>
        <v/>
      </c>
      <c r="C175" t="str">
        <f>IF(Andata!U49="","",Andata!U49)</f>
        <v/>
      </c>
      <c r="D175" t="str">
        <f>Andata!V49</f>
        <v>Torino</v>
      </c>
      <c r="E175" t="str">
        <f t="shared" si="17"/>
        <v/>
      </c>
      <c r="F175" t="str">
        <f t="shared" si="18"/>
        <v/>
      </c>
      <c r="G175">
        <f t="shared" si="19"/>
        <v>0</v>
      </c>
    </row>
    <row r="176" spans="1:7" ht="15" customHeight="1" x14ac:dyDescent="0.2">
      <c r="A176" t="str">
        <f>Andata!S50</f>
        <v>Lazio</v>
      </c>
      <c r="B176" t="str">
        <f>IF(Andata!T50="","",Andata!T50)</f>
        <v/>
      </c>
      <c r="C176" t="str">
        <f>IF(Andata!U50="","",Andata!U50)</f>
        <v/>
      </c>
      <c r="D176" t="str">
        <f>Andata!V50</f>
        <v>Inter</v>
      </c>
      <c r="E176" t="str">
        <f t="shared" si="17"/>
        <v/>
      </c>
      <c r="F176" t="str">
        <f t="shared" si="18"/>
        <v/>
      </c>
      <c r="G176">
        <f t="shared" si="19"/>
        <v>0</v>
      </c>
    </row>
    <row r="177" spans="1:7" ht="15" customHeight="1" x14ac:dyDescent="0.2">
      <c r="A177" t="str">
        <f>Andata!S51</f>
        <v>Lecce</v>
      </c>
      <c r="B177" t="str">
        <f>IF(Andata!T51="","",Andata!T51)</f>
        <v/>
      </c>
      <c r="C177" t="str">
        <f>IF(Andata!U51="","",Andata!U51)</f>
        <v/>
      </c>
      <c r="D177" t="str">
        <f>Andata!V51</f>
        <v>Parma</v>
      </c>
      <c r="E177" t="str">
        <f t="shared" si="17"/>
        <v/>
      </c>
      <c r="F177" t="str">
        <f t="shared" si="18"/>
        <v/>
      </c>
      <c r="G177">
        <f t="shared" si="19"/>
        <v>0</v>
      </c>
    </row>
    <row r="178" spans="1:7" ht="15" customHeight="1" x14ac:dyDescent="0.2">
      <c r="A178" t="str">
        <f>Andata!S52</f>
        <v>Milan</v>
      </c>
      <c r="B178" t="str">
        <f>IF(Andata!T52="","",Andata!T52)</f>
        <v/>
      </c>
      <c r="C178" t="str">
        <f>IF(Andata!U52="","",Andata!U52)</f>
        <v/>
      </c>
      <c r="D178" t="str">
        <f>Andata!V52</f>
        <v>Fiorentina</v>
      </c>
      <c r="E178" t="str">
        <f t="shared" si="17"/>
        <v/>
      </c>
      <c r="F178" t="str">
        <f t="shared" si="18"/>
        <v/>
      </c>
      <c r="G178">
        <f t="shared" si="19"/>
        <v>0</v>
      </c>
    </row>
    <row r="179" spans="1:7" ht="15" customHeight="1" x14ac:dyDescent="0.2">
      <c r="A179" t="str">
        <f>Andata!S53</f>
        <v>Napoli</v>
      </c>
      <c r="B179" t="str">
        <f>IF(Andata!T53="","",Andata!T53)</f>
        <v/>
      </c>
      <c r="C179" t="str">
        <f>IF(Andata!U53="","",Andata!U53)</f>
        <v/>
      </c>
      <c r="D179" t="str">
        <f>Andata!V53</f>
        <v>Cagliari</v>
      </c>
      <c r="E179" t="str">
        <f t="shared" si="17"/>
        <v/>
      </c>
      <c r="F179" t="str">
        <f t="shared" si="18"/>
        <v/>
      </c>
      <c r="G179">
        <f t="shared" si="19"/>
        <v>0</v>
      </c>
    </row>
    <row r="180" spans="1:7" ht="15" customHeight="1" x14ac:dyDescent="0.2">
      <c r="A180" t="str">
        <f>Andata!S54</f>
        <v>Sassuolo</v>
      </c>
      <c r="B180" t="str">
        <f>IF(Andata!T54="","",Andata!T54)</f>
        <v/>
      </c>
      <c r="C180" t="str">
        <f>IF(Andata!U54="","",Andata!U54)</f>
        <v/>
      </c>
      <c r="D180" t="str">
        <f>Andata!V54</f>
        <v>Udinese</v>
      </c>
      <c r="E180" t="str">
        <f t="shared" si="17"/>
        <v/>
      </c>
      <c r="F180" t="str">
        <f t="shared" si="18"/>
        <v/>
      </c>
      <c r="G180">
        <f t="shared" si="19"/>
        <v>0</v>
      </c>
    </row>
    <row r="181" spans="1:7" ht="15" customHeight="1" x14ac:dyDescent="0.2">
      <c r="A181" t="str">
        <f>Andata!S55</f>
        <v>Venezia</v>
      </c>
      <c r="B181" t="str">
        <f>IF(Andata!T55="","",Andata!T55)</f>
        <v/>
      </c>
      <c r="C181" t="str">
        <f>IF(Andata!U55="","",Andata!U55)</f>
        <v/>
      </c>
      <c r="D181" t="str">
        <f>Andata!V55</f>
        <v>Roma</v>
      </c>
      <c r="E181" t="str">
        <f t="shared" si="17"/>
        <v/>
      </c>
      <c r="F181" t="str">
        <f t="shared" si="18"/>
        <v/>
      </c>
      <c r="G181">
        <f t="shared" si="19"/>
        <v>0</v>
      </c>
    </row>
    <row r="182" spans="1:7" ht="15" customHeight="1" x14ac:dyDescent="0.2">
      <c r="A182" t="str">
        <f>Andata!Y46</f>
        <v>Bologna</v>
      </c>
      <c r="B182" t="str">
        <f>IF(Andata!Z46="","",Andata!Z46)</f>
        <v/>
      </c>
      <c r="C182" t="str">
        <f>IF(Andata!AA46="","",Andata!AA46)</f>
        <v/>
      </c>
      <c r="D182" t="str">
        <f>Andata!AB46</f>
        <v>Genoa</v>
      </c>
      <c r="E182" t="str">
        <f t="shared" si="17"/>
        <v/>
      </c>
      <c r="F182" t="str">
        <f t="shared" si="18"/>
        <v/>
      </c>
      <c r="G182">
        <f t="shared" si="19"/>
        <v>0</v>
      </c>
    </row>
    <row r="183" spans="1:7" ht="15" customHeight="1" x14ac:dyDescent="0.2">
      <c r="A183" t="str">
        <f>Andata!Y47</f>
        <v>Cagliari</v>
      </c>
      <c r="B183" t="str">
        <f>IF(Andata!Z47="","",Andata!Z47)</f>
        <v/>
      </c>
      <c r="C183" t="str">
        <f>IF(Andata!AA47="","",Andata!AA47)</f>
        <v/>
      </c>
      <c r="D183" t="str">
        <f>Andata!AB47</f>
        <v>Sassuolo</v>
      </c>
      <c r="E183" t="str">
        <f t="shared" si="17"/>
        <v/>
      </c>
      <c r="F183" t="str">
        <f t="shared" si="18"/>
        <v/>
      </c>
      <c r="G183">
        <f t="shared" si="19"/>
        <v>0</v>
      </c>
    </row>
    <row r="184" spans="1:7" ht="15" customHeight="1" x14ac:dyDescent="0.2">
      <c r="A184" t="str">
        <f>Andata!Y48</f>
        <v>Como</v>
      </c>
      <c r="B184" t="str">
        <f>IF(Andata!Z48="","",Andata!Z48)</f>
        <v/>
      </c>
      <c r="C184" t="str">
        <f>IF(Andata!AA48="","",Andata!AA48)</f>
        <v/>
      </c>
      <c r="D184" t="str">
        <f>Andata!AB48</f>
        <v>Lazio</v>
      </c>
      <c r="E184" t="str">
        <f t="shared" si="17"/>
        <v/>
      </c>
      <c r="F184" t="str">
        <f t="shared" si="18"/>
        <v/>
      </c>
      <c r="G184">
        <f t="shared" si="19"/>
        <v>0</v>
      </c>
    </row>
    <row r="185" spans="1:7" ht="15" customHeight="1" x14ac:dyDescent="0.2">
      <c r="A185" t="str">
        <f>Andata!Y49</f>
        <v>Fiorentina</v>
      </c>
      <c r="B185" t="str">
        <f>IF(Andata!Z49="","",Andata!Z49)</f>
        <v/>
      </c>
      <c r="C185" t="str">
        <f>IF(Andata!AA49="","",Andata!AA49)</f>
        <v/>
      </c>
      <c r="D185" t="str">
        <f>Andata!AB49</f>
        <v>Lecce</v>
      </c>
      <c r="E185" t="str">
        <f t="shared" si="17"/>
        <v/>
      </c>
      <c r="F185" t="str">
        <f t="shared" si="18"/>
        <v/>
      </c>
      <c r="G185">
        <f t="shared" si="19"/>
        <v>0</v>
      </c>
    </row>
    <row r="186" spans="1:7" ht="15" customHeight="1" x14ac:dyDescent="0.2">
      <c r="A186" t="str">
        <f>Andata!Y50</f>
        <v>Inter</v>
      </c>
      <c r="B186" t="str">
        <f>IF(Andata!Z50="","",Andata!Z50)</f>
        <v/>
      </c>
      <c r="C186" t="str">
        <f>IF(Andata!AA50="","",Andata!AA50)</f>
        <v/>
      </c>
      <c r="D186" t="str">
        <f>Andata!AB50</f>
        <v>Juventus</v>
      </c>
      <c r="E186" t="str">
        <f t="shared" si="17"/>
        <v/>
      </c>
      <c r="F186" t="str">
        <f t="shared" si="18"/>
        <v/>
      </c>
      <c r="G186">
        <f t="shared" si="19"/>
        <v>0</v>
      </c>
    </row>
    <row r="187" spans="1:7" ht="15" customHeight="1" x14ac:dyDescent="0.2">
      <c r="A187" t="str">
        <f>Andata!Y51</f>
        <v>Monza</v>
      </c>
      <c r="B187" t="str">
        <f>IF(Andata!Z51="","",Andata!Z51)</f>
        <v/>
      </c>
      <c r="C187" t="str">
        <f>IF(Andata!AA51="","",Andata!AA51)</f>
        <v/>
      </c>
      <c r="D187" t="str">
        <f>Andata!AB51</f>
        <v>Frosinone</v>
      </c>
      <c r="E187" t="str">
        <f t="shared" si="17"/>
        <v/>
      </c>
      <c r="F187" t="str">
        <f t="shared" si="18"/>
        <v/>
      </c>
      <c r="G187">
        <f t="shared" si="19"/>
        <v>0</v>
      </c>
    </row>
    <row r="188" spans="1:7" ht="15" customHeight="1" x14ac:dyDescent="0.2">
      <c r="A188" t="str">
        <f>Andata!Y52</f>
        <v>Parma</v>
      </c>
      <c r="B188" t="str">
        <f>IF(Andata!Z52="","",Andata!Z52)</f>
        <v/>
      </c>
      <c r="C188" t="str">
        <f>IF(Andata!AA52="","",Andata!AA52)</f>
        <v/>
      </c>
      <c r="D188" t="str">
        <f>Andata!AB52</f>
        <v>Venezia</v>
      </c>
      <c r="E188" t="str">
        <f t="shared" si="17"/>
        <v/>
      </c>
      <c r="F188" t="str">
        <f t="shared" si="18"/>
        <v/>
      </c>
      <c r="G188">
        <f t="shared" si="19"/>
        <v>0</v>
      </c>
    </row>
    <row r="189" spans="1:7" ht="15" customHeight="1" x14ac:dyDescent="0.2">
      <c r="A189" t="str">
        <f>Andata!Y53</f>
        <v>Roma</v>
      </c>
      <c r="B189" t="str">
        <f>IF(Andata!Z53="","",Andata!Z53)</f>
        <v/>
      </c>
      <c r="C189" t="str">
        <f>IF(Andata!AA53="","",Andata!AA53)</f>
        <v/>
      </c>
      <c r="D189" t="str">
        <f>Andata!AB53</f>
        <v>Milan</v>
      </c>
      <c r="E189" t="str">
        <f t="shared" si="17"/>
        <v/>
      </c>
      <c r="F189" t="str">
        <f t="shared" si="18"/>
        <v/>
      </c>
      <c r="G189">
        <f t="shared" si="19"/>
        <v>0</v>
      </c>
    </row>
    <row r="190" spans="1:7" ht="15" customHeight="1" x14ac:dyDescent="0.2">
      <c r="A190" t="str">
        <f>Andata!Y54</f>
        <v>Torino</v>
      </c>
      <c r="B190" t="str">
        <f>IF(Andata!Z54="","",Andata!Z54)</f>
        <v/>
      </c>
      <c r="C190" t="str">
        <f>IF(Andata!AA54="","",Andata!AA54)</f>
        <v/>
      </c>
      <c r="D190" t="str">
        <f>Andata!AB54</f>
        <v>Atalanta</v>
      </c>
      <c r="E190" t="str">
        <f t="shared" si="17"/>
        <v/>
      </c>
      <c r="F190" t="str">
        <f t="shared" si="18"/>
        <v/>
      </c>
      <c r="G190">
        <f t="shared" si="19"/>
        <v>0</v>
      </c>
    </row>
    <row r="191" spans="1:7" ht="15" customHeight="1" x14ac:dyDescent="0.2">
      <c r="A191" t="str">
        <f>Andata!Y55</f>
        <v>Udinese</v>
      </c>
      <c r="B191" t="str">
        <f>IF(Andata!Z55="","",Andata!Z55)</f>
        <v/>
      </c>
      <c r="C191" t="str">
        <f>IF(Andata!AA55="","",Andata!AA55)</f>
        <v/>
      </c>
      <c r="D191" t="str">
        <f>Andata!AB55</f>
        <v>Napoli</v>
      </c>
      <c r="E191" t="str">
        <f t="shared" si="17"/>
        <v/>
      </c>
      <c r="F191" t="str">
        <f t="shared" si="18"/>
        <v/>
      </c>
      <c r="G191">
        <f t="shared" si="19"/>
        <v>0</v>
      </c>
    </row>
    <row r="192" spans="1:7" ht="15" customHeight="1" x14ac:dyDescent="0.2">
      <c r="A192" t="str">
        <f>Ritorno!D4</f>
        <v>Atalanta</v>
      </c>
      <c r="B192" t="str">
        <f>IF(Ritorno!E4="","",Ritorno!E4)</f>
        <v/>
      </c>
      <c r="C192" t="str">
        <f>IF(Ritorno!F4="","",Ritorno!F4)</f>
        <v/>
      </c>
      <c r="D192" t="str">
        <f>Ritorno!G4</f>
        <v>Roma</v>
      </c>
      <c r="E192" t="str">
        <f t="shared" si="17"/>
        <v/>
      </c>
      <c r="F192" t="str">
        <f t="shared" si="18"/>
        <v/>
      </c>
      <c r="G192">
        <f t="shared" si="19"/>
        <v>0</v>
      </c>
    </row>
    <row r="193" spans="1:7" ht="15" customHeight="1" x14ac:dyDescent="0.2">
      <c r="A193" t="str">
        <f>Ritorno!D5</f>
        <v>Cagliari</v>
      </c>
      <c r="B193" t="str">
        <f>IF(Ritorno!E5="","",Ritorno!E5)</f>
        <v/>
      </c>
      <c r="C193" t="str">
        <f>IF(Ritorno!F5="","",Ritorno!F5)</f>
        <v/>
      </c>
      <c r="D193" t="str">
        <f>Ritorno!G5</f>
        <v>Como</v>
      </c>
      <c r="E193" t="str">
        <f t="shared" si="17"/>
        <v/>
      </c>
      <c r="F193" t="str">
        <f t="shared" si="18"/>
        <v/>
      </c>
      <c r="G193">
        <f t="shared" si="19"/>
        <v>0</v>
      </c>
    </row>
    <row r="194" spans="1:7" ht="15" customHeight="1" x14ac:dyDescent="0.2">
      <c r="A194" t="str">
        <f>Ritorno!D6</f>
        <v>Juventus</v>
      </c>
      <c r="B194" t="str">
        <f>IF(Ritorno!E6="","",Ritorno!E6)</f>
        <v/>
      </c>
      <c r="C194" t="str">
        <f>IF(Ritorno!F6="","",Ritorno!F6)</f>
        <v/>
      </c>
      <c r="D194" t="str">
        <f>Ritorno!G6</f>
        <v>Genoa</v>
      </c>
      <c r="E194" t="str">
        <f t="shared" ref="E194:E257" si="20">IF(OR(B194="",C194=""),"",IF(B194&gt;C194,3,IF(B194=C194,1,0)))</f>
        <v/>
      </c>
      <c r="F194" t="str">
        <f t="shared" ref="F194:F257" si="21">IF(OR(B194="",C194=""),"",IF(C194&gt;B194,3,IF(B194=C194,1,0)))</f>
        <v/>
      </c>
      <c r="G194">
        <f t="shared" ref="G194:G257" si="22">IF(OR(B194="",C194=""),0,1)</f>
        <v>0</v>
      </c>
    </row>
    <row r="195" spans="1:7" ht="15" customHeight="1" x14ac:dyDescent="0.2">
      <c r="A195" t="str">
        <f>Ritorno!D7</f>
        <v>Lazio</v>
      </c>
      <c r="B195" t="str">
        <f>IF(Ritorno!E7="","",Ritorno!E7)</f>
        <v/>
      </c>
      <c r="C195" t="str">
        <f>IF(Ritorno!F7="","",Ritorno!F7)</f>
        <v/>
      </c>
      <c r="D195" t="str">
        <f>Ritorno!G7</f>
        <v>Bologna</v>
      </c>
      <c r="E195" t="str">
        <f t="shared" si="20"/>
        <v/>
      </c>
      <c r="F195" t="str">
        <f t="shared" si="21"/>
        <v/>
      </c>
      <c r="G195">
        <f t="shared" si="22"/>
        <v>0</v>
      </c>
    </row>
    <row r="196" spans="1:7" ht="15" customHeight="1" x14ac:dyDescent="0.2">
      <c r="A196" t="str">
        <f>Ritorno!D8</f>
        <v>Lecce</v>
      </c>
      <c r="B196" t="str">
        <f>IF(Ritorno!E8="","",Ritorno!E8)</f>
        <v/>
      </c>
      <c r="C196" t="str">
        <f>IF(Ritorno!F8="","",Ritorno!F8)</f>
        <v/>
      </c>
      <c r="D196" t="str">
        <f>Ritorno!G8</f>
        <v>Udinese</v>
      </c>
      <c r="E196" t="str">
        <f t="shared" si="20"/>
        <v/>
      </c>
      <c r="F196" t="str">
        <f t="shared" si="21"/>
        <v/>
      </c>
      <c r="G196">
        <f t="shared" si="22"/>
        <v>0</v>
      </c>
    </row>
    <row r="197" spans="1:7" ht="15" customHeight="1" x14ac:dyDescent="0.2">
      <c r="A197" t="str">
        <f>Ritorno!D9</f>
        <v>Milan</v>
      </c>
      <c r="B197" t="str">
        <f>IF(Ritorno!E9="","",Ritorno!E9)</f>
        <v/>
      </c>
      <c r="C197" t="str">
        <f>IF(Ritorno!F9="","",Ritorno!F9)</f>
        <v/>
      </c>
      <c r="D197" t="str">
        <f>Ritorno!G9</f>
        <v>Torino</v>
      </c>
      <c r="E197" t="str">
        <f t="shared" si="20"/>
        <v/>
      </c>
      <c r="F197" t="str">
        <f t="shared" si="21"/>
        <v/>
      </c>
      <c r="G197">
        <f t="shared" si="22"/>
        <v>0</v>
      </c>
    </row>
    <row r="198" spans="1:7" ht="15" customHeight="1" x14ac:dyDescent="0.2">
      <c r="A198" t="str">
        <f>Ritorno!D10</f>
        <v>Napoli</v>
      </c>
      <c r="B198" t="str">
        <f>IF(Ritorno!E10="","",Ritorno!E10)</f>
        <v/>
      </c>
      <c r="C198" t="str">
        <f>IF(Ritorno!F10="","",Ritorno!F10)</f>
        <v/>
      </c>
      <c r="D198" t="str">
        <f>Ritorno!G10</f>
        <v>Fiorentina</v>
      </c>
      <c r="E198" t="str">
        <f t="shared" si="20"/>
        <v/>
      </c>
      <c r="F198" t="str">
        <f t="shared" si="21"/>
        <v/>
      </c>
      <c r="G198">
        <f t="shared" si="22"/>
        <v>0</v>
      </c>
    </row>
    <row r="199" spans="1:7" ht="15" customHeight="1" x14ac:dyDescent="0.2">
      <c r="A199" t="str">
        <f>Ritorno!D11</f>
        <v>Parma</v>
      </c>
      <c r="B199" t="str">
        <f>IF(Ritorno!E11="","",Ritorno!E11)</f>
        <v/>
      </c>
      <c r="C199" t="str">
        <f>IF(Ritorno!F11="","",Ritorno!F11)</f>
        <v/>
      </c>
      <c r="D199" t="str">
        <f>Ritorno!G11</f>
        <v>Inter</v>
      </c>
      <c r="E199" t="str">
        <f t="shared" si="20"/>
        <v/>
      </c>
      <c r="F199" t="str">
        <f t="shared" si="21"/>
        <v/>
      </c>
      <c r="G199">
        <f t="shared" si="22"/>
        <v>0</v>
      </c>
    </row>
    <row r="200" spans="1:7" ht="15" customHeight="1" x14ac:dyDescent="0.2">
      <c r="A200" t="str">
        <f>Ritorno!D12</f>
        <v>Sassuolo</v>
      </c>
      <c r="B200" t="str">
        <f>IF(Ritorno!E12="","",Ritorno!E12)</f>
        <v/>
      </c>
      <c r="C200" t="str">
        <f>IF(Ritorno!F12="","",Ritorno!F12)</f>
        <v/>
      </c>
      <c r="D200" t="str">
        <f>Ritorno!G12</f>
        <v>Monza</v>
      </c>
      <c r="E200" t="str">
        <f t="shared" si="20"/>
        <v/>
      </c>
      <c r="F200" t="str">
        <f t="shared" si="21"/>
        <v/>
      </c>
      <c r="G200">
        <f t="shared" si="22"/>
        <v>0</v>
      </c>
    </row>
    <row r="201" spans="1:7" ht="15" customHeight="1" x14ac:dyDescent="0.2">
      <c r="A201" t="str">
        <f>Ritorno!D13</f>
        <v>Venezia</v>
      </c>
      <c r="B201" t="str">
        <f>IF(Ritorno!E13="","",Ritorno!E13)</f>
        <v/>
      </c>
      <c r="C201" t="str">
        <f>IF(Ritorno!F13="","",Ritorno!F13)</f>
        <v/>
      </c>
      <c r="D201" t="str">
        <f>Ritorno!G13</f>
        <v>Frosinone</v>
      </c>
      <c r="E201" t="str">
        <f t="shared" si="20"/>
        <v/>
      </c>
      <c r="F201" t="str">
        <f t="shared" si="21"/>
        <v/>
      </c>
      <c r="G201">
        <f t="shared" si="22"/>
        <v>0</v>
      </c>
    </row>
    <row r="202" spans="1:7" ht="15" customHeight="1" x14ac:dyDescent="0.2">
      <c r="A202" t="str">
        <f>Ritorno!J4</f>
        <v>Bologna</v>
      </c>
      <c r="B202" t="str">
        <f>IF(Ritorno!K4="","",Ritorno!K4)</f>
        <v/>
      </c>
      <c r="C202" t="str">
        <f>IF(Ritorno!L4="","",Ritorno!L4)</f>
        <v/>
      </c>
      <c r="D202" t="str">
        <f>Ritorno!M4</f>
        <v>Atalanta</v>
      </c>
      <c r="E202" t="str">
        <f t="shared" si="20"/>
        <v/>
      </c>
      <c r="F202" t="str">
        <f t="shared" si="21"/>
        <v/>
      </c>
      <c r="G202">
        <f t="shared" si="22"/>
        <v>0</v>
      </c>
    </row>
    <row r="203" spans="1:7" ht="15" customHeight="1" x14ac:dyDescent="0.2">
      <c r="A203" t="str">
        <f>Ritorno!J5</f>
        <v>Como</v>
      </c>
      <c r="B203" t="str">
        <f>IF(Ritorno!K5="","",Ritorno!K5)</f>
        <v/>
      </c>
      <c r="C203" t="str">
        <f>IF(Ritorno!L5="","",Ritorno!L5)</f>
        <v/>
      </c>
      <c r="D203" t="str">
        <f>Ritorno!M5</f>
        <v>Napoli</v>
      </c>
      <c r="E203" t="str">
        <f t="shared" si="20"/>
        <v/>
      </c>
      <c r="F203" t="str">
        <f t="shared" si="21"/>
        <v/>
      </c>
      <c r="G203">
        <f t="shared" si="22"/>
        <v>0</v>
      </c>
    </row>
    <row r="204" spans="1:7" ht="15" customHeight="1" x14ac:dyDescent="0.2">
      <c r="A204" t="str">
        <f>Ritorno!J6</f>
        <v>Fiorentina</v>
      </c>
      <c r="B204" t="str">
        <f>IF(Ritorno!K6="","",Ritorno!K6)</f>
        <v/>
      </c>
      <c r="C204" t="str">
        <f>IF(Ritorno!L6="","",Ritorno!L6)</f>
        <v/>
      </c>
      <c r="D204" t="str">
        <f>Ritorno!M6</f>
        <v>Sassuolo</v>
      </c>
      <c r="E204" t="str">
        <f t="shared" si="20"/>
        <v/>
      </c>
      <c r="F204" t="str">
        <f t="shared" si="21"/>
        <v/>
      </c>
      <c r="G204">
        <f t="shared" si="22"/>
        <v>0</v>
      </c>
    </row>
    <row r="205" spans="1:7" ht="15" customHeight="1" x14ac:dyDescent="0.2">
      <c r="A205" t="str">
        <f>Ritorno!J7</f>
        <v>Frosinone</v>
      </c>
      <c r="B205" t="str">
        <f>IF(Ritorno!K7="","",Ritorno!K7)</f>
        <v/>
      </c>
      <c r="C205" t="str">
        <f>IF(Ritorno!L7="","",Ritorno!L7)</f>
        <v/>
      </c>
      <c r="D205" t="str">
        <f>Ritorno!M7</f>
        <v>Milan</v>
      </c>
      <c r="E205" t="str">
        <f t="shared" si="20"/>
        <v/>
      </c>
      <c r="F205" t="str">
        <f t="shared" si="21"/>
        <v/>
      </c>
      <c r="G205">
        <f t="shared" si="22"/>
        <v>0</v>
      </c>
    </row>
    <row r="206" spans="1:7" ht="15" customHeight="1" x14ac:dyDescent="0.2">
      <c r="A206" t="str">
        <f>Ritorno!J8</f>
        <v>Genoa</v>
      </c>
      <c r="B206" t="str">
        <f>IF(Ritorno!K8="","",Ritorno!K8)</f>
        <v/>
      </c>
      <c r="C206" t="str">
        <f>IF(Ritorno!L8="","",Ritorno!L8)</f>
        <v/>
      </c>
      <c r="D206" t="str">
        <f>Ritorno!M8</f>
        <v>Parma</v>
      </c>
      <c r="E206" t="str">
        <f t="shared" si="20"/>
        <v/>
      </c>
      <c r="F206" t="str">
        <f t="shared" si="21"/>
        <v/>
      </c>
      <c r="G206">
        <f t="shared" si="22"/>
        <v>0</v>
      </c>
    </row>
    <row r="207" spans="1:7" ht="15" customHeight="1" x14ac:dyDescent="0.2">
      <c r="A207" t="str">
        <f>Ritorno!J9</f>
        <v>Inter</v>
      </c>
      <c r="B207" t="str">
        <f>IF(Ritorno!K9="","",Ritorno!K9)</f>
        <v/>
      </c>
      <c r="C207" t="str">
        <f>IF(Ritorno!L9="","",Ritorno!L9)</f>
        <v/>
      </c>
      <c r="D207" t="str">
        <f>Ritorno!M9</f>
        <v>Venezia</v>
      </c>
      <c r="E207" t="str">
        <f t="shared" si="20"/>
        <v/>
      </c>
      <c r="F207" t="str">
        <f t="shared" si="21"/>
        <v/>
      </c>
      <c r="G207">
        <f t="shared" si="22"/>
        <v>0</v>
      </c>
    </row>
    <row r="208" spans="1:7" ht="15" customHeight="1" x14ac:dyDescent="0.2">
      <c r="A208" t="str">
        <f>Ritorno!J10</f>
        <v>Juventus</v>
      </c>
      <c r="B208" t="str">
        <f>IF(Ritorno!K10="","",Ritorno!K10)</f>
        <v/>
      </c>
      <c r="C208" t="str">
        <f>IF(Ritorno!L10="","",Ritorno!L10)</f>
        <v/>
      </c>
      <c r="D208" t="str">
        <f>Ritorno!M10</f>
        <v>Cagliari</v>
      </c>
      <c r="E208" t="str">
        <f t="shared" si="20"/>
        <v/>
      </c>
      <c r="F208" t="str">
        <f t="shared" si="21"/>
        <v/>
      </c>
      <c r="G208">
        <f t="shared" si="22"/>
        <v>0</v>
      </c>
    </row>
    <row r="209" spans="1:7" ht="15" customHeight="1" x14ac:dyDescent="0.2">
      <c r="A209" t="str">
        <f>Ritorno!J11</f>
        <v>Lecce</v>
      </c>
      <c r="B209" t="str">
        <f>IF(Ritorno!K11="","",Ritorno!K11)</f>
        <v/>
      </c>
      <c r="C209" t="str">
        <f>IF(Ritorno!L11="","",Ritorno!L11)</f>
        <v/>
      </c>
      <c r="D209" t="str">
        <f>Ritorno!M11</f>
        <v>Torino</v>
      </c>
      <c r="E209" t="str">
        <f t="shared" si="20"/>
        <v/>
      </c>
      <c r="F209" t="str">
        <f t="shared" si="21"/>
        <v/>
      </c>
      <c r="G209">
        <f t="shared" si="22"/>
        <v>0</v>
      </c>
    </row>
    <row r="210" spans="1:7" ht="15" customHeight="1" x14ac:dyDescent="0.2">
      <c r="A210" t="str">
        <f>Ritorno!J12</f>
        <v>Monza</v>
      </c>
      <c r="B210" t="str">
        <f>IF(Ritorno!K12="","",Ritorno!K12)</f>
        <v/>
      </c>
      <c r="C210" t="str">
        <f>IF(Ritorno!L12="","",Ritorno!L12)</f>
        <v/>
      </c>
      <c r="D210" t="str">
        <f>Ritorno!M12</f>
        <v>Lazio</v>
      </c>
      <c r="E210" t="str">
        <f t="shared" si="20"/>
        <v/>
      </c>
      <c r="F210" t="str">
        <f t="shared" si="21"/>
        <v/>
      </c>
      <c r="G210">
        <f t="shared" si="22"/>
        <v>0</v>
      </c>
    </row>
    <row r="211" spans="1:7" ht="15" customHeight="1" x14ac:dyDescent="0.2">
      <c r="A211" t="str">
        <f>Ritorno!J13</f>
        <v>Roma</v>
      </c>
      <c r="B211" t="str">
        <f>IF(Ritorno!K13="","",Ritorno!K13)</f>
        <v/>
      </c>
      <c r="C211" t="str">
        <f>IF(Ritorno!L13="","",Ritorno!L13)</f>
        <v/>
      </c>
      <c r="D211" t="str">
        <f>Ritorno!M13</f>
        <v>Udinese</v>
      </c>
      <c r="E211" t="str">
        <f t="shared" si="20"/>
        <v/>
      </c>
      <c r="F211" t="str">
        <f t="shared" si="21"/>
        <v/>
      </c>
      <c r="G211">
        <f t="shared" si="22"/>
        <v>0</v>
      </c>
    </row>
    <row r="212" spans="1:7" ht="15" customHeight="1" x14ac:dyDescent="0.2">
      <c r="A212" t="str">
        <f>Ritorno!P4</f>
        <v>Atalanta</v>
      </c>
      <c r="B212" t="str">
        <f>IF(Ritorno!Q4="","",Ritorno!Q4)</f>
        <v/>
      </c>
      <c r="C212" t="str">
        <f>IF(Ritorno!R4="","",Ritorno!R4)</f>
        <v/>
      </c>
      <c r="D212" t="str">
        <f>Ritorno!S4</f>
        <v>Fiorentina</v>
      </c>
      <c r="E212" t="str">
        <f t="shared" si="20"/>
        <v/>
      </c>
      <c r="F212" t="str">
        <f t="shared" si="21"/>
        <v/>
      </c>
      <c r="G212">
        <f t="shared" si="22"/>
        <v>0</v>
      </c>
    </row>
    <row r="213" spans="1:7" ht="15" customHeight="1" x14ac:dyDescent="0.2">
      <c r="A213" t="str">
        <f>Ritorno!P5</f>
        <v>Cagliari</v>
      </c>
      <c r="B213" t="str">
        <f>IF(Ritorno!Q5="","",Ritorno!Q5)</f>
        <v/>
      </c>
      <c r="C213" t="str">
        <f>IF(Ritorno!R5="","",Ritorno!R5)</f>
        <v/>
      </c>
      <c r="D213" t="str">
        <f>Ritorno!S5</f>
        <v>Parma</v>
      </c>
      <c r="E213" t="str">
        <f t="shared" si="20"/>
        <v/>
      </c>
      <c r="F213" t="str">
        <f t="shared" si="21"/>
        <v/>
      </c>
      <c r="G213">
        <f t="shared" si="22"/>
        <v>0</v>
      </c>
    </row>
    <row r="214" spans="1:7" ht="15" customHeight="1" x14ac:dyDescent="0.2">
      <c r="A214" t="str">
        <f>Ritorno!P6</f>
        <v>Genoa</v>
      </c>
      <c r="B214" t="str">
        <f>IF(Ritorno!Q6="","",Ritorno!Q6)</f>
        <v/>
      </c>
      <c r="C214" t="str">
        <f>IF(Ritorno!R6="","",Ritorno!R6)</f>
        <v/>
      </c>
      <c r="D214" t="str">
        <f>Ritorno!S6</f>
        <v>Lecce</v>
      </c>
      <c r="E214" t="str">
        <f t="shared" si="20"/>
        <v/>
      </c>
      <c r="F214" t="str">
        <f t="shared" si="21"/>
        <v/>
      </c>
      <c r="G214">
        <f t="shared" si="22"/>
        <v>0</v>
      </c>
    </row>
    <row r="215" spans="1:7" ht="15" customHeight="1" x14ac:dyDescent="0.2">
      <c r="A215" t="str">
        <f>Ritorno!P7</f>
        <v>Lazio</v>
      </c>
      <c r="B215" t="str">
        <f>IF(Ritorno!Q7="","",Ritorno!Q7)</f>
        <v/>
      </c>
      <c r="C215" t="str">
        <f>IF(Ritorno!R7="","",Ritorno!R7)</f>
        <v/>
      </c>
      <c r="D215" t="str">
        <f>Ritorno!S7</f>
        <v>Venezia</v>
      </c>
      <c r="E215" t="str">
        <f t="shared" si="20"/>
        <v/>
      </c>
      <c r="F215" t="str">
        <f t="shared" si="21"/>
        <v/>
      </c>
      <c r="G215">
        <f t="shared" si="22"/>
        <v>0</v>
      </c>
    </row>
    <row r="216" spans="1:7" ht="15" customHeight="1" x14ac:dyDescent="0.2">
      <c r="A216" t="str">
        <f>Ritorno!P8</f>
        <v>Milan</v>
      </c>
      <c r="B216" t="str">
        <f>IF(Ritorno!Q8="","",Ritorno!Q8)</f>
        <v/>
      </c>
      <c r="C216" t="str">
        <f>IF(Ritorno!R8="","",Ritorno!R8)</f>
        <v/>
      </c>
      <c r="D216" t="str">
        <f>Ritorno!S8</f>
        <v>Juventus</v>
      </c>
      <c r="E216" t="str">
        <f t="shared" si="20"/>
        <v/>
      </c>
      <c r="F216" t="str">
        <f t="shared" si="21"/>
        <v/>
      </c>
      <c r="G216">
        <f t="shared" si="22"/>
        <v>0</v>
      </c>
    </row>
    <row r="217" spans="1:7" ht="15" customHeight="1" x14ac:dyDescent="0.2">
      <c r="A217" t="str">
        <f>Ritorno!P9</f>
        <v>Monza</v>
      </c>
      <c r="B217" t="str">
        <f>IF(Ritorno!Q9="","",Ritorno!Q9)</f>
        <v/>
      </c>
      <c r="C217" t="str">
        <f>IF(Ritorno!R9="","",Ritorno!R9)</f>
        <v/>
      </c>
      <c r="D217" t="str">
        <f>Ritorno!S9</f>
        <v>Roma</v>
      </c>
      <c r="E217" t="str">
        <f t="shared" si="20"/>
        <v/>
      </c>
      <c r="F217" t="str">
        <f t="shared" si="21"/>
        <v/>
      </c>
      <c r="G217">
        <f t="shared" si="22"/>
        <v>0</v>
      </c>
    </row>
    <row r="218" spans="1:7" ht="15" customHeight="1" x14ac:dyDescent="0.2">
      <c r="A218" t="str">
        <f>Ritorno!P10</f>
        <v>Napoli</v>
      </c>
      <c r="B218" t="str">
        <f>IF(Ritorno!Q10="","",Ritorno!Q10)</f>
        <v/>
      </c>
      <c r="C218" t="str">
        <f>IF(Ritorno!R10="","",Ritorno!R10)</f>
        <v/>
      </c>
      <c r="D218" t="str">
        <f>Ritorno!S10</f>
        <v>Inter</v>
      </c>
      <c r="E218" t="str">
        <f t="shared" si="20"/>
        <v/>
      </c>
      <c r="F218" t="str">
        <f t="shared" si="21"/>
        <v/>
      </c>
      <c r="G218">
        <f t="shared" si="22"/>
        <v>0</v>
      </c>
    </row>
    <row r="219" spans="1:7" ht="15" customHeight="1" x14ac:dyDescent="0.2">
      <c r="A219" t="str">
        <f>Ritorno!P11</f>
        <v>Sassuolo</v>
      </c>
      <c r="B219" t="str">
        <f>IF(Ritorno!Q11="","",Ritorno!Q11)</f>
        <v/>
      </c>
      <c r="C219" t="str">
        <f>IF(Ritorno!R11="","",Ritorno!R11)</f>
        <v/>
      </c>
      <c r="D219" t="str">
        <f>Ritorno!S11</f>
        <v>Como</v>
      </c>
      <c r="E219" t="str">
        <f t="shared" si="20"/>
        <v/>
      </c>
      <c r="F219" t="str">
        <f t="shared" si="21"/>
        <v/>
      </c>
      <c r="G219">
        <f t="shared" si="22"/>
        <v>0</v>
      </c>
    </row>
    <row r="220" spans="1:7" ht="15" customHeight="1" x14ac:dyDescent="0.2">
      <c r="A220" t="str">
        <f>Ritorno!P12</f>
        <v>Torino</v>
      </c>
      <c r="B220" t="str">
        <f>IF(Ritorno!Q12="","",Ritorno!Q12)</f>
        <v/>
      </c>
      <c r="C220" t="str">
        <f>IF(Ritorno!R12="","",Ritorno!R12)</f>
        <v/>
      </c>
      <c r="D220" t="str">
        <f>Ritorno!S12</f>
        <v>Frosinone</v>
      </c>
      <c r="E220" t="str">
        <f t="shared" si="20"/>
        <v/>
      </c>
      <c r="F220" t="str">
        <f t="shared" si="21"/>
        <v/>
      </c>
      <c r="G220">
        <f t="shared" si="22"/>
        <v>0</v>
      </c>
    </row>
    <row r="221" spans="1:7" ht="15" customHeight="1" x14ac:dyDescent="0.2">
      <c r="A221" t="str">
        <f>Ritorno!P13</f>
        <v>Udinese</v>
      </c>
      <c r="B221" t="str">
        <f>IF(Ritorno!Q13="","",Ritorno!Q13)</f>
        <v/>
      </c>
      <c r="C221" t="str">
        <f>IF(Ritorno!R13="","",Ritorno!R13)</f>
        <v/>
      </c>
      <c r="D221" t="str">
        <f>Ritorno!S13</f>
        <v>Bologna</v>
      </c>
      <c r="E221" t="str">
        <f t="shared" si="20"/>
        <v/>
      </c>
      <c r="F221" t="str">
        <f t="shared" si="21"/>
        <v/>
      </c>
      <c r="G221">
        <f t="shared" si="22"/>
        <v>0</v>
      </c>
    </row>
    <row r="222" spans="1:7" ht="15" customHeight="1" x14ac:dyDescent="0.2">
      <c r="A222" t="str">
        <f>Ritorno!V4</f>
        <v>Atalanta</v>
      </c>
      <c r="B222" t="str">
        <f>IF(Ritorno!W4="","",Ritorno!W4)</f>
        <v/>
      </c>
      <c r="C222" t="str">
        <f>IF(Ritorno!X4="","",Ritorno!X4)</f>
        <v/>
      </c>
      <c r="D222" t="str">
        <f>Ritorno!Y4</f>
        <v>Lazio</v>
      </c>
      <c r="E222" t="str">
        <f t="shared" si="20"/>
        <v/>
      </c>
      <c r="F222" t="str">
        <f t="shared" si="21"/>
        <v/>
      </c>
      <c r="G222">
        <f t="shared" si="22"/>
        <v>0</v>
      </c>
    </row>
    <row r="223" spans="1:7" ht="15" customHeight="1" x14ac:dyDescent="0.2">
      <c r="A223" t="str">
        <f>Ritorno!V5</f>
        <v>Bologna</v>
      </c>
      <c r="B223" t="str">
        <f>IF(Ritorno!W5="","",Ritorno!W5)</f>
        <v/>
      </c>
      <c r="C223" t="str">
        <f>IF(Ritorno!X5="","",Ritorno!X5)</f>
        <v/>
      </c>
      <c r="D223" t="str">
        <f>Ritorno!Y5</f>
        <v>Milan</v>
      </c>
      <c r="E223" t="str">
        <f t="shared" si="20"/>
        <v/>
      </c>
      <c r="F223" t="str">
        <f t="shared" si="21"/>
        <v/>
      </c>
      <c r="G223">
        <f t="shared" si="22"/>
        <v>0</v>
      </c>
    </row>
    <row r="224" spans="1:7" ht="15" customHeight="1" x14ac:dyDescent="0.2">
      <c r="A224" t="str">
        <f>Ritorno!V6</f>
        <v>Como</v>
      </c>
      <c r="B224" t="str">
        <f>IF(Ritorno!W6="","",Ritorno!W6)</f>
        <v/>
      </c>
      <c r="C224" t="str">
        <f>IF(Ritorno!X6="","",Ritorno!X6)</f>
        <v/>
      </c>
      <c r="D224" t="str">
        <f>Ritorno!Y6</f>
        <v>Monza</v>
      </c>
      <c r="E224" t="str">
        <f t="shared" si="20"/>
        <v/>
      </c>
      <c r="F224" t="str">
        <f t="shared" si="21"/>
        <v/>
      </c>
      <c r="G224">
        <f t="shared" si="22"/>
        <v>0</v>
      </c>
    </row>
    <row r="225" spans="1:7" ht="15" customHeight="1" x14ac:dyDescent="0.2">
      <c r="A225" t="str">
        <f>Ritorno!V7</f>
        <v>Fiorentina</v>
      </c>
      <c r="B225" t="str">
        <f>IF(Ritorno!W7="","",Ritorno!W7)</f>
        <v/>
      </c>
      <c r="C225" t="str">
        <f>IF(Ritorno!X7="","",Ritorno!X7)</f>
        <v/>
      </c>
      <c r="D225" t="str">
        <f>Ritorno!Y7</f>
        <v>Udinese</v>
      </c>
      <c r="E225" t="str">
        <f t="shared" si="20"/>
        <v/>
      </c>
      <c r="F225" t="str">
        <f t="shared" si="21"/>
        <v/>
      </c>
      <c r="G225">
        <f t="shared" si="22"/>
        <v>0</v>
      </c>
    </row>
    <row r="226" spans="1:7" ht="15" customHeight="1" x14ac:dyDescent="0.2">
      <c r="A226" t="str">
        <f>Ritorno!V8</f>
        <v>Inter</v>
      </c>
      <c r="B226" t="str">
        <f>IF(Ritorno!W8="","",Ritorno!W8)</f>
        <v/>
      </c>
      <c r="C226" t="str">
        <f>IF(Ritorno!X8="","",Ritorno!X8)</f>
        <v/>
      </c>
      <c r="D226" t="str">
        <f>Ritorno!Y8</f>
        <v>Cagliari</v>
      </c>
      <c r="E226" t="str">
        <f t="shared" si="20"/>
        <v/>
      </c>
      <c r="F226" t="str">
        <f t="shared" si="21"/>
        <v/>
      </c>
      <c r="G226">
        <f t="shared" si="22"/>
        <v>0</v>
      </c>
    </row>
    <row r="227" spans="1:7" ht="15" customHeight="1" x14ac:dyDescent="0.2">
      <c r="A227" t="str">
        <f>Ritorno!V9</f>
        <v>Juventus</v>
      </c>
      <c r="B227" t="str">
        <f>IF(Ritorno!W9="","",Ritorno!W9)</f>
        <v/>
      </c>
      <c r="C227" t="str">
        <f>IF(Ritorno!X9="","",Ritorno!X9)</f>
        <v/>
      </c>
      <c r="D227" t="str">
        <f>Ritorno!Y9</f>
        <v>Sassuolo</v>
      </c>
      <c r="E227" t="str">
        <f t="shared" si="20"/>
        <v/>
      </c>
      <c r="F227" t="str">
        <f t="shared" si="21"/>
        <v/>
      </c>
      <c r="G227">
        <f t="shared" si="22"/>
        <v>0</v>
      </c>
    </row>
    <row r="228" spans="1:7" ht="15" customHeight="1" x14ac:dyDescent="0.2">
      <c r="A228" t="str">
        <f>Ritorno!V10</f>
        <v>Lecce</v>
      </c>
      <c r="B228" t="str">
        <f>IF(Ritorno!W10="","",Ritorno!W10)</f>
        <v/>
      </c>
      <c r="C228" t="str">
        <f>IF(Ritorno!X10="","",Ritorno!X10)</f>
        <v/>
      </c>
      <c r="D228" t="str">
        <f>Ritorno!Y10</f>
        <v>Napoli</v>
      </c>
      <c r="E228" t="str">
        <f t="shared" si="20"/>
        <v/>
      </c>
      <c r="F228" t="str">
        <f t="shared" si="21"/>
        <v/>
      </c>
      <c r="G228">
        <f t="shared" si="22"/>
        <v>0</v>
      </c>
    </row>
    <row r="229" spans="1:7" ht="15" customHeight="1" x14ac:dyDescent="0.2">
      <c r="A229" t="str">
        <f>Ritorno!V11</f>
        <v>Parma</v>
      </c>
      <c r="B229" t="str">
        <f>IF(Ritorno!W11="","",Ritorno!W11)</f>
        <v/>
      </c>
      <c r="C229" t="str">
        <f>IF(Ritorno!X11="","",Ritorno!X11)</f>
        <v/>
      </c>
      <c r="D229" t="str">
        <f>Ritorno!Y11</f>
        <v>Frosinone</v>
      </c>
      <c r="E229" t="str">
        <f t="shared" si="20"/>
        <v/>
      </c>
      <c r="F229" t="str">
        <f t="shared" si="21"/>
        <v/>
      </c>
      <c r="G229">
        <f t="shared" si="22"/>
        <v>0</v>
      </c>
    </row>
    <row r="230" spans="1:7" ht="15" customHeight="1" x14ac:dyDescent="0.2">
      <c r="A230" t="str">
        <f>Ritorno!V12</f>
        <v>Roma</v>
      </c>
      <c r="B230" t="str">
        <f>IF(Ritorno!W12="","",Ritorno!W12)</f>
        <v/>
      </c>
      <c r="C230" t="str">
        <f>IF(Ritorno!X12="","",Ritorno!X12)</f>
        <v/>
      </c>
      <c r="D230" t="str">
        <f>Ritorno!Y12</f>
        <v>Torino</v>
      </c>
      <c r="E230" t="str">
        <f t="shared" si="20"/>
        <v/>
      </c>
      <c r="F230" t="str">
        <f t="shared" si="21"/>
        <v/>
      </c>
      <c r="G230">
        <f t="shared" si="22"/>
        <v>0</v>
      </c>
    </row>
    <row r="231" spans="1:7" ht="15" customHeight="1" x14ac:dyDescent="0.2">
      <c r="A231" t="str">
        <f>Ritorno!V13</f>
        <v>Venezia</v>
      </c>
      <c r="B231" t="str">
        <f>IF(Ritorno!W13="","",Ritorno!W13)</f>
        <v/>
      </c>
      <c r="C231" t="str">
        <f>IF(Ritorno!X13="","",Ritorno!X13)</f>
        <v/>
      </c>
      <c r="D231" t="str">
        <f>Ritorno!Y13</f>
        <v>Genoa</v>
      </c>
      <c r="E231" t="str">
        <f t="shared" si="20"/>
        <v/>
      </c>
      <c r="F231" t="str">
        <f t="shared" si="21"/>
        <v/>
      </c>
      <c r="G231">
        <f t="shared" si="22"/>
        <v>0</v>
      </c>
    </row>
    <row r="232" spans="1:7" ht="15" customHeight="1" x14ac:dyDescent="0.2">
      <c r="A232" t="str">
        <f>Ritorno!A18</f>
        <v>Bologna</v>
      </c>
      <c r="B232" t="str">
        <f>IF(Ritorno!B18="","",Ritorno!B18)</f>
        <v/>
      </c>
      <c r="C232" t="str">
        <f>IF(Ritorno!C18="","",Ritorno!C18)</f>
        <v/>
      </c>
      <c r="D232" t="str">
        <f>Ritorno!D18</f>
        <v>Como</v>
      </c>
      <c r="E232" t="str">
        <f t="shared" si="20"/>
        <v/>
      </c>
      <c r="F232" t="str">
        <f t="shared" si="21"/>
        <v/>
      </c>
      <c r="G232">
        <f t="shared" si="22"/>
        <v>0</v>
      </c>
    </row>
    <row r="233" spans="1:7" ht="15" customHeight="1" x14ac:dyDescent="0.2">
      <c r="A233" t="str">
        <f>Ritorno!A19</f>
        <v>Cagliari</v>
      </c>
      <c r="B233" t="str">
        <f>IF(Ritorno!B19="","",Ritorno!B19)</f>
        <v/>
      </c>
      <c r="C233" t="str">
        <f>IF(Ritorno!C19="","",Ritorno!C19)</f>
        <v/>
      </c>
      <c r="D233" t="str">
        <f>Ritorno!D19</f>
        <v>Lazio</v>
      </c>
      <c r="E233" t="str">
        <f t="shared" si="20"/>
        <v/>
      </c>
      <c r="F233" t="str">
        <f t="shared" si="21"/>
        <v/>
      </c>
      <c r="G233">
        <f t="shared" si="22"/>
        <v>0</v>
      </c>
    </row>
    <row r="234" spans="1:7" ht="15" customHeight="1" x14ac:dyDescent="0.2">
      <c r="A234" t="str">
        <f>Ritorno!A20</f>
        <v>Frosinone</v>
      </c>
      <c r="B234" t="str">
        <f>IF(Ritorno!B20="","",Ritorno!B20)</f>
        <v/>
      </c>
      <c r="C234" t="str">
        <f>IF(Ritorno!C20="","",Ritorno!C20)</f>
        <v/>
      </c>
      <c r="D234" t="str">
        <f>Ritorno!D20</f>
        <v>Fiorentina</v>
      </c>
      <c r="E234" t="str">
        <f t="shared" si="20"/>
        <v/>
      </c>
      <c r="F234" t="str">
        <f t="shared" si="21"/>
        <v/>
      </c>
      <c r="G234">
        <f t="shared" si="22"/>
        <v>0</v>
      </c>
    </row>
    <row r="235" spans="1:7" ht="15" customHeight="1" x14ac:dyDescent="0.2">
      <c r="A235" t="str">
        <f>Ritorno!A21</f>
        <v>Genoa</v>
      </c>
      <c r="B235" t="str">
        <f>IF(Ritorno!B21="","",Ritorno!B21)</f>
        <v/>
      </c>
      <c r="C235" t="str">
        <f>IF(Ritorno!C21="","",Ritorno!C21)</f>
        <v/>
      </c>
      <c r="D235" t="str">
        <f>Ritorno!D21</f>
        <v>Atalanta</v>
      </c>
      <c r="E235" t="str">
        <f t="shared" si="20"/>
        <v/>
      </c>
      <c r="F235" t="str">
        <f t="shared" si="21"/>
        <v/>
      </c>
      <c r="G235">
        <f t="shared" si="22"/>
        <v>0</v>
      </c>
    </row>
    <row r="236" spans="1:7" ht="15" customHeight="1" x14ac:dyDescent="0.2">
      <c r="A236" t="str">
        <f>Ritorno!A22</f>
        <v>Inter</v>
      </c>
      <c r="B236" t="str">
        <f>IF(Ritorno!B22="","",Ritorno!B22)</f>
        <v/>
      </c>
      <c r="C236" t="str">
        <f>IF(Ritorno!C22="","",Ritorno!C22)</f>
        <v/>
      </c>
      <c r="D236" t="str">
        <f>Ritorno!D22</f>
        <v>Milan</v>
      </c>
      <c r="E236" t="str">
        <f t="shared" si="20"/>
        <v/>
      </c>
      <c r="F236" t="str">
        <f t="shared" si="21"/>
        <v/>
      </c>
      <c r="G236">
        <f t="shared" si="22"/>
        <v>0</v>
      </c>
    </row>
    <row r="237" spans="1:7" ht="15" customHeight="1" x14ac:dyDescent="0.2">
      <c r="A237" t="str">
        <f>Ritorno!A23</f>
        <v>Monza</v>
      </c>
      <c r="B237" t="str">
        <f>IF(Ritorno!B23="","",Ritorno!B23)</f>
        <v/>
      </c>
      <c r="C237" t="str">
        <f>IF(Ritorno!C23="","",Ritorno!C23)</f>
        <v/>
      </c>
      <c r="D237" t="str">
        <f>Ritorno!D23</f>
        <v>Lecce</v>
      </c>
      <c r="E237" t="str">
        <f t="shared" si="20"/>
        <v/>
      </c>
      <c r="F237" t="str">
        <f t="shared" si="21"/>
        <v/>
      </c>
      <c r="G237">
        <f t="shared" si="22"/>
        <v>0</v>
      </c>
    </row>
    <row r="238" spans="1:7" ht="15" customHeight="1" x14ac:dyDescent="0.2">
      <c r="A238" t="str">
        <f>Ritorno!A24</f>
        <v>Napoli</v>
      </c>
      <c r="B238" t="str">
        <f>IF(Ritorno!B24="","",Ritorno!B24)</f>
        <v/>
      </c>
      <c r="C238" t="str">
        <f>IF(Ritorno!C24="","",Ritorno!C24)</f>
        <v/>
      </c>
      <c r="D238" t="str">
        <f>Ritorno!D24</f>
        <v>Juventus</v>
      </c>
      <c r="E238" t="str">
        <f t="shared" si="20"/>
        <v/>
      </c>
      <c r="F238" t="str">
        <f t="shared" si="21"/>
        <v/>
      </c>
      <c r="G238">
        <f t="shared" si="22"/>
        <v>0</v>
      </c>
    </row>
    <row r="239" spans="1:7" ht="15" customHeight="1" x14ac:dyDescent="0.2">
      <c r="A239" t="str">
        <f>Ritorno!A25</f>
        <v>Roma</v>
      </c>
      <c r="B239" t="str">
        <f>IF(Ritorno!B25="","",Ritorno!B25)</f>
        <v/>
      </c>
      <c r="C239" t="str">
        <f>IF(Ritorno!C25="","",Ritorno!C25)</f>
        <v/>
      </c>
      <c r="D239" t="str">
        <f>Ritorno!D25</f>
        <v>Parma</v>
      </c>
      <c r="E239" t="str">
        <f t="shared" si="20"/>
        <v/>
      </c>
      <c r="F239" t="str">
        <f t="shared" si="21"/>
        <v/>
      </c>
      <c r="G239">
        <f t="shared" si="22"/>
        <v>0</v>
      </c>
    </row>
    <row r="240" spans="1:7" ht="15" customHeight="1" x14ac:dyDescent="0.2">
      <c r="A240" t="str">
        <f>Ritorno!A26</f>
        <v>Torino</v>
      </c>
      <c r="B240" t="str">
        <f>IF(Ritorno!B26="","",Ritorno!B26)</f>
        <v/>
      </c>
      <c r="C240" t="str">
        <f>IF(Ritorno!C26="","",Ritorno!C26)</f>
        <v/>
      </c>
      <c r="D240" t="str">
        <f>Ritorno!D26</f>
        <v>Sassuolo</v>
      </c>
      <c r="E240" t="str">
        <f t="shared" si="20"/>
        <v/>
      </c>
      <c r="F240" t="str">
        <f t="shared" si="21"/>
        <v/>
      </c>
      <c r="G240">
        <f t="shared" si="22"/>
        <v>0</v>
      </c>
    </row>
    <row r="241" spans="1:7" ht="15" customHeight="1" x14ac:dyDescent="0.2">
      <c r="A241" t="str">
        <f>Ritorno!A27</f>
        <v>Udinese</v>
      </c>
      <c r="B241" t="str">
        <f>IF(Ritorno!B27="","",Ritorno!B27)</f>
        <v/>
      </c>
      <c r="C241" t="str">
        <f>IF(Ritorno!C27="","",Ritorno!C27)</f>
        <v/>
      </c>
      <c r="D241" t="str">
        <f>Ritorno!D27</f>
        <v>Venezia</v>
      </c>
      <c r="E241" t="str">
        <f t="shared" si="20"/>
        <v/>
      </c>
      <c r="F241" t="str">
        <f t="shared" si="21"/>
        <v/>
      </c>
      <c r="G241">
        <f t="shared" si="22"/>
        <v>0</v>
      </c>
    </row>
    <row r="242" spans="1:7" ht="15" customHeight="1" x14ac:dyDescent="0.2">
      <c r="A242" t="str">
        <f>Ritorno!G18</f>
        <v>Atalanta</v>
      </c>
      <c r="B242" t="str">
        <f>IF(Ritorno!H18="","",Ritorno!H18)</f>
        <v/>
      </c>
      <c r="C242" t="str">
        <f>IF(Ritorno!I18="","",Ritorno!I18)</f>
        <v/>
      </c>
      <c r="D242" t="str">
        <f>Ritorno!J18</f>
        <v>Monza</v>
      </c>
      <c r="E242" t="str">
        <f t="shared" si="20"/>
        <v/>
      </c>
      <c r="F242" t="str">
        <f t="shared" si="21"/>
        <v/>
      </c>
      <c r="G242">
        <f t="shared" si="22"/>
        <v>0</v>
      </c>
    </row>
    <row r="243" spans="1:7" ht="15" customHeight="1" x14ac:dyDescent="0.2">
      <c r="A243" t="str">
        <f>Ritorno!G19</f>
        <v>Como</v>
      </c>
      <c r="B243" t="str">
        <f>IF(Ritorno!H19="","",Ritorno!H19)</f>
        <v/>
      </c>
      <c r="C243" t="str">
        <f>IF(Ritorno!I19="","",Ritorno!I19)</f>
        <v/>
      </c>
      <c r="D243" t="str">
        <f>Ritorno!J19</f>
        <v>Torino</v>
      </c>
      <c r="E243" t="str">
        <f t="shared" si="20"/>
        <v/>
      </c>
      <c r="F243" t="str">
        <f t="shared" si="21"/>
        <v/>
      </c>
      <c r="G243">
        <f t="shared" si="22"/>
        <v>0</v>
      </c>
    </row>
    <row r="244" spans="1:7" ht="15" customHeight="1" x14ac:dyDescent="0.2">
      <c r="A244" t="str">
        <f>Ritorno!G20</f>
        <v>Fiorentina</v>
      </c>
      <c r="B244" t="str">
        <f>IF(Ritorno!H20="","",Ritorno!H20)</f>
        <v/>
      </c>
      <c r="C244" t="str">
        <f>IF(Ritorno!I20="","",Ritorno!I20)</f>
        <v/>
      </c>
      <c r="D244" t="str">
        <f>Ritorno!J20</f>
        <v>Inter</v>
      </c>
      <c r="E244" t="str">
        <f t="shared" si="20"/>
        <v/>
      </c>
      <c r="F244" t="str">
        <f t="shared" si="21"/>
        <v/>
      </c>
      <c r="G244">
        <f t="shared" si="22"/>
        <v>0</v>
      </c>
    </row>
    <row r="245" spans="1:7" ht="15" customHeight="1" x14ac:dyDescent="0.2">
      <c r="A245" t="str">
        <f>Ritorno!G21</f>
        <v>Juventus</v>
      </c>
      <c r="B245" t="str">
        <f>IF(Ritorno!H21="","",Ritorno!H21)</f>
        <v/>
      </c>
      <c r="C245" t="str">
        <f>IF(Ritorno!I21="","",Ritorno!I21)</f>
        <v/>
      </c>
      <c r="D245" t="str">
        <f>Ritorno!J21</f>
        <v>Bologna</v>
      </c>
      <c r="E245" t="str">
        <f t="shared" si="20"/>
        <v/>
      </c>
      <c r="F245" t="str">
        <f t="shared" si="21"/>
        <v/>
      </c>
      <c r="G245">
        <f t="shared" si="22"/>
        <v>0</v>
      </c>
    </row>
    <row r="246" spans="1:7" ht="15" customHeight="1" x14ac:dyDescent="0.2">
      <c r="A246" t="str">
        <f>Ritorno!G22</f>
        <v>Lazio</v>
      </c>
      <c r="B246" t="str">
        <f>IF(Ritorno!H22="","",Ritorno!H22)</f>
        <v/>
      </c>
      <c r="C246" t="str">
        <f>IF(Ritorno!I22="","",Ritorno!I22)</f>
        <v/>
      </c>
      <c r="D246" t="str">
        <f>Ritorno!J22</f>
        <v>Napoli</v>
      </c>
      <c r="E246" t="str">
        <f t="shared" si="20"/>
        <v/>
      </c>
      <c r="F246" t="str">
        <f t="shared" si="21"/>
        <v/>
      </c>
      <c r="G246">
        <f t="shared" si="22"/>
        <v>0</v>
      </c>
    </row>
    <row r="247" spans="1:7" ht="15" customHeight="1" x14ac:dyDescent="0.2">
      <c r="A247" t="str">
        <f>Ritorno!G23</f>
        <v>Lecce</v>
      </c>
      <c r="B247" t="str">
        <f>IF(Ritorno!H23="","",Ritorno!H23)</f>
        <v/>
      </c>
      <c r="C247" t="str">
        <f>IF(Ritorno!I23="","",Ritorno!I23)</f>
        <v/>
      </c>
      <c r="D247" t="str">
        <f>Ritorno!J23</f>
        <v>Frosinone</v>
      </c>
      <c r="E247" t="str">
        <f t="shared" si="20"/>
        <v/>
      </c>
      <c r="F247" t="str">
        <f t="shared" si="21"/>
        <v/>
      </c>
      <c r="G247">
        <f t="shared" si="22"/>
        <v>0</v>
      </c>
    </row>
    <row r="248" spans="1:7" ht="15" customHeight="1" x14ac:dyDescent="0.2">
      <c r="A248" t="str">
        <f>Ritorno!G24</f>
        <v>Milan</v>
      </c>
      <c r="B248" t="str">
        <f>IF(Ritorno!H24="","",Ritorno!H24)</f>
        <v/>
      </c>
      <c r="C248" t="str">
        <f>IF(Ritorno!I24="","",Ritorno!I24)</f>
        <v/>
      </c>
      <c r="D248" t="str">
        <f>Ritorno!J24</f>
        <v>Genoa</v>
      </c>
      <c r="E248" t="str">
        <f t="shared" si="20"/>
        <v/>
      </c>
      <c r="F248" t="str">
        <f t="shared" si="21"/>
        <v/>
      </c>
      <c r="G248">
        <f t="shared" si="22"/>
        <v>0</v>
      </c>
    </row>
    <row r="249" spans="1:7" ht="15" customHeight="1" x14ac:dyDescent="0.2">
      <c r="A249" t="str">
        <f>Ritorno!G25</f>
        <v>Sassuolo</v>
      </c>
      <c r="B249" t="str">
        <f>IF(Ritorno!H25="","",Ritorno!H25)</f>
        <v/>
      </c>
      <c r="C249" t="str">
        <f>IF(Ritorno!I25="","",Ritorno!I25)</f>
        <v/>
      </c>
      <c r="D249" t="str">
        <f>Ritorno!J25</f>
        <v>Roma</v>
      </c>
      <c r="E249" t="str">
        <f t="shared" si="20"/>
        <v/>
      </c>
      <c r="F249" t="str">
        <f t="shared" si="21"/>
        <v/>
      </c>
      <c r="G249">
        <f t="shared" si="22"/>
        <v>0</v>
      </c>
    </row>
    <row r="250" spans="1:7" ht="15" customHeight="1" x14ac:dyDescent="0.2">
      <c r="A250" t="str">
        <f>Ritorno!G26</f>
        <v>Udinese</v>
      </c>
      <c r="B250" t="str">
        <f>IF(Ritorno!H26="","",Ritorno!H26)</f>
        <v/>
      </c>
      <c r="C250" t="str">
        <f>IF(Ritorno!I26="","",Ritorno!I26)</f>
        <v/>
      </c>
      <c r="D250" t="str">
        <f>Ritorno!J26</f>
        <v>Parma</v>
      </c>
      <c r="E250" t="str">
        <f t="shared" si="20"/>
        <v/>
      </c>
      <c r="F250" t="str">
        <f t="shared" si="21"/>
        <v/>
      </c>
      <c r="G250">
        <f t="shared" si="22"/>
        <v>0</v>
      </c>
    </row>
    <row r="251" spans="1:7" ht="15" customHeight="1" x14ac:dyDescent="0.2">
      <c r="A251" t="str">
        <f>Ritorno!G27</f>
        <v>Venezia</v>
      </c>
      <c r="B251" t="str">
        <f>IF(Ritorno!H27="","",Ritorno!H27)</f>
        <v/>
      </c>
      <c r="C251" t="str">
        <f>IF(Ritorno!I27="","",Ritorno!I27)</f>
        <v/>
      </c>
      <c r="D251" t="str">
        <f>Ritorno!J27</f>
        <v>Cagliari</v>
      </c>
      <c r="E251" t="str">
        <f t="shared" si="20"/>
        <v/>
      </c>
      <c r="F251" t="str">
        <f t="shared" si="21"/>
        <v/>
      </c>
      <c r="G251">
        <f t="shared" si="22"/>
        <v>0</v>
      </c>
    </row>
    <row r="252" spans="1:7" ht="15" customHeight="1" x14ac:dyDescent="0.2">
      <c r="A252" t="str">
        <f>Ritorno!M18</f>
        <v>Bologna</v>
      </c>
      <c r="B252" t="str">
        <f>IF(Ritorno!N18="","",Ritorno!N18)</f>
        <v/>
      </c>
      <c r="C252" t="str">
        <f>IF(Ritorno!O18="","",Ritorno!O18)</f>
        <v/>
      </c>
      <c r="D252" t="str">
        <f>Ritorno!P18</f>
        <v>Lecce</v>
      </c>
      <c r="E252" t="str">
        <f t="shared" si="20"/>
        <v/>
      </c>
      <c r="F252" t="str">
        <f t="shared" si="21"/>
        <v/>
      </c>
      <c r="G252">
        <f t="shared" si="22"/>
        <v>0</v>
      </c>
    </row>
    <row r="253" spans="1:7" ht="15" customHeight="1" x14ac:dyDescent="0.2">
      <c r="A253" t="str">
        <f>Ritorno!M19</f>
        <v>Cagliari</v>
      </c>
      <c r="B253" t="str">
        <f>IF(Ritorno!N19="","",Ritorno!N19)</f>
        <v/>
      </c>
      <c r="C253" t="str">
        <f>IF(Ritorno!O19="","",Ritorno!O19)</f>
        <v/>
      </c>
      <c r="D253" t="str">
        <f>Ritorno!P19</f>
        <v>Udinese</v>
      </c>
      <c r="E253" t="str">
        <f t="shared" si="20"/>
        <v/>
      </c>
      <c r="F253" t="str">
        <f t="shared" si="21"/>
        <v/>
      </c>
      <c r="G253">
        <f t="shared" si="22"/>
        <v>0</v>
      </c>
    </row>
    <row r="254" spans="1:7" ht="15" customHeight="1" x14ac:dyDescent="0.2">
      <c r="A254" t="str">
        <f>Ritorno!M20</f>
        <v>Como</v>
      </c>
      <c r="B254" t="str">
        <f>IF(Ritorno!N20="","",Ritorno!N20)</f>
        <v/>
      </c>
      <c r="C254" t="str">
        <f>IF(Ritorno!O20="","",Ritorno!O20)</f>
        <v/>
      </c>
      <c r="D254" t="str">
        <f>Ritorno!P20</f>
        <v>Milan</v>
      </c>
      <c r="E254" t="str">
        <f t="shared" si="20"/>
        <v/>
      </c>
      <c r="F254" t="str">
        <f t="shared" si="21"/>
        <v/>
      </c>
      <c r="G254">
        <f t="shared" si="22"/>
        <v>0</v>
      </c>
    </row>
    <row r="255" spans="1:7" ht="15" customHeight="1" x14ac:dyDescent="0.2">
      <c r="A255" t="str">
        <f>Ritorno!M21</f>
        <v>Frosinone</v>
      </c>
      <c r="B255" t="str">
        <f>IF(Ritorno!N21="","",Ritorno!N21)</f>
        <v/>
      </c>
      <c r="C255" t="str">
        <f>IF(Ritorno!O21="","",Ritorno!O21)</f>
        <v/>
      </c>
      <c r="D255" t="str">
        <f>Ritorno!P21</f>
        <v>Napoli</v>
      </c>
      <c r="E255" t="str">
        <f t="shared" si="20"/>
        <v/>
      </c>
      <c r="F255" t="str">
        <f t="shared" si="21"/>
        <v/>
      </c>
      <c r="G255">
        <f t="shared" si="22"/>
        <v>0</v>
      </c>
    </row>
    <row r="256" spans="1:7" ht="15" customHeight="1" x14ac:dyDescent="0.2">
      <c r="A256" t="str">
        <f>Ritorno!M22</f>
        <v>Genoa</v>
      </c>
      <c r="B256" t="str">
        <f>IF(Ritorno!N22="","",Ritorno!N22)</f>
        <v/>
      </c>
      <c r="C256" t="str">
        <f>IF(Ritorno!O22="","",Ritorno!O22)</f>
        <v/>
      </c>
      <c r="D256" t="str">
        <f>Ritorno!P22</f>
        <v>Lazio</v>
      </c>
      <c r="E256" t="str">
        <f t="shared" si="20"/>
        <v/>
      </c>
      <c r="F256" t="str">
        <f t="shared" si="21"/>
        <v/>
      </c>
      <c r="G256">
        <f t="shared" si="22"/>
        <v>0</v>
      </c>
    </row>
    <row r="257" spans="1:7" ht="15" customHeight="1" x14ac:dyDescent="0.2">
      <c r="A257" t="str">
        <f>Ritorno!M23</f>
        <v>Inter</v>
      </c>
      <c r="B257" t="str">
        <f>IF(Ritorno!N23="","",Ritorno!N23)</f>
        <v/>
      </c>
      <c r="C257" t="str">
        <f>IF(Ritorno!O23="","",Ritorno!O23)</f>
        <v/>
      </c>
      <c r="D257" t="str">
        <f>Ritorno!P23</f>
        <v>Atalanta</v>
      </c>
      <c r="E257" t="str">
        <f t="shared" si="20"/>
        <v/>
      </c>
      <c r="F257" t="str">
        <f t="shared" si="21"/>
        <v/>
      </c>
      <c r="G257">
        <f t="shared" si="22"/>
        <v>0</v>
      </c>
    </row>
    <row r="258" spans="1:7" ht="15" customHeight="1" x14ac:dyDescent="0.2">
      <c r="A258" t="str">
        <f>Ritorno!M24</f>
        <v>Monza</v>
      </c>
      <c r="B258" t="str">
        <f>IF(Ritorno!N24="","",Ritorno!N24)</f>
        <v/>
      </c>
      <c r="C258" t="str">
        <f>IF(Ritorno!O24="","",Ritorno!O24)</f>
        <v/>
      </c>
      <c r="D258" t="str">
        <f>Ritorno!P24</f>
        <v>Juventus</v>
      </c>
      <c r="E258" t="str">
        <f t="shared" ref="E258:E321" si="23">IF(OR(B258="",C258=""),"",IF(B258&gt;C258,3,IF(B258=C258,1,0)))</f>
        <v/>
      </c>
      <c r="F258" t="str">
        <f t="shared" ref="F258:F321" si="24">IF(OR(B258="",C258=""),"",IF(C258&gt;B258,3,IF(B258=C258,1,0)))</f>
        <v/>
      </c>
      <c r="G258">
        <f t="shared" ref="G258:G321" si="25">IF(OR(B258="",C258=""),0,1)</f>
        <v>0</v>
      </c>
    </row>
    <row r="259" spans="1:7" ht="15" customHeight="1" x14ac:dyDescent="0.2">
      <c r="A259" t="str">
        <f>Ritorno!M25</f>
        <v>Parma</v>
      </c>
      <c r="B259" t="str">
        <f>IF(Ritorno!N25="","",Ritorno!N25)</f>
        <v/>
      </c>
      <c r="C259" t="str">
        <f>IF(Ritorno!O25="","",Ritorno!O25)</f>
        <v/>
      </c>
      <c r="D259" t="str">
        <f>Ritorno!P25</f>
        <v>Sassuolo</v>
      </c>
      <c r="E259" t="str">
        <f t="shared" si="23"/>
        <v/>
      </c>
      <c r="F259" t="str">
        <f t="shared" si="24"/>
        <v/>
      </c>
      <c r="G259">
        <f t="shared" si="25"/>
        <v>0</v>
      </c>
    </row>
    <row r="260" spans="1:7" ht="15" customHeight="1" x14ac:dyDescent="0.2">
      <c r="A260" t="str">
        <f>Ritorno!M26</f>
        <v>Roma</v>
      </c>
      <c r="B260" t="str">
        <f>IF(Ritorno!N26="","",Ritorno!N26)</f>
        <v/>
      </c>
      <c r="C260" t="str">
        <f>IF(Ritorno!O26="","",Ritorno!O26)</f>
        <v/>
      </c>
      <c r="D260" t="str">
        <f>Ritorno!P26</f>
        <v>Venezia</v>
      </c>
      <c r="E260" t="str">
        <f t="shared" si="23"/>
        <v/>
      </c>
      <c r="F260" t="str">
        <f t="shared" si="24"/>
        <v/>
      </c>
      <c r="G260">
        <f t="shared" si="25"/>
        <v>0</v>
      </c>
    </row>
    <row r="261" spans="1:7" ht="15" customHeight="1" x14ac:dyDescent="0.2">
      <c r="A261" t="str">
        <f>Ritorno!M27</f>
        <v>Torino</v>
      </c>
      <c r="B261" t="str">
        <f>IF(Ritorno!N27="","",Ritorno!N27)</f>
        <v/>
      </c>
      <c r="C261" t="str">
        <f>IF(Ritorno!O27="","",Ritorno!O27)</f>
        <v/>
      </c>
      <c r="D261" t="str">
        <f>Ritorno!P27</f>
        <v>Fiorentina</v>
      </c>
      <c r="E261" t="str">
        <f t="shared" si="23"/>
        <v/>
      </c>
      <c r="F261" t="str">
        <f t="shared" si="24"/>
        <v/>
      </c>
      <c r="G261">
        <f t="shared" si="25"/>
        <v>0</v>
      </c>
    </row>
    <row r="262" spans="1:7" ht="15" customHeight="1" x14ac:dyDescent="0.2">
      <c r="A262" t="str">
        <f>Ritorno!S18</f>
        <v>Atalanta</v>
      </c>
      <c r="B262" t="str">
        <f>IF(Ritorno!T18="","",Ritorno!T18)</f>
        <v/>
      </c>
      <c r="C262" t="str">
        <f>IF(Ritorno!U18="","",Ritorno!U18)</f>
        <v/>
      </c>
      <c r="D262" t="str">
        <f>Ritorno!V18</f>
        <v>Torino</v>
      </c>
      <c r="E262" t="str">
        <f t="shared" si="23"/>
        <v/>
      </c>
      <c r="F262" t="str">
        <f t="shared" si="24"/>
        <v/>
      </c>
      <c r="G262">
        <f t="shared" si="25"/>
        <v>0</v>
      </c>
    </row>
    <row r="263" spans="1:7" ht="15" customHeight="1" x14ac:dyDescent="0.2">
      <c r="A263" t="str">
        <f>Ritorno!S19</f>
        <v>Fiorentina</v>
      </c>
      <c r="B263" t="str">
        <f>IF(Ritorno!T19="","",Ritorno!T19)</f>
        <v/>
      </c>
      <c r="C263" t="str">
        <f>IF(Ritorno!U19="","",Ritorno!U19)</f>
        <v/>
      </c>
      <c r="D263" t="str">
        <f>Ritorno!V19</f>
        <v>Venezia</v>
      </c>
      <c r="E263" t="str">
        <f t="shared" si="23"/>
        <v/>
      </c>
      <c r="F263" t="str">
        <f t="shared" si="24"/>
        <v/>
      </c>
      <c r="G263">
        <f t="shared" si="25"/>
        <v>0</v>
      </c>
    </row>
    <row r="264" spans="1:7" ht="15" customHeight="1" x14ac:dyDescent="0.2">
      <c r="A264" t="str">
        <f>Ritorno!S20</f>
        <v>Juventus</v>
      </c>
      <c r="B264" t="str">
        <f>IF(Ritorno!T20="","",Ritorno!T20)</f>
        <v/>
      </c>
      <c r="C264" t="str">
        <f>IF(Ritorno!U20="","",Ritorno!U20)</f>
        <v/>
      </c>
      <c r="D264" t="str">
        <f>Ritorno!V20</f>
        <v>Roma</v>
      </c>
      <c r="E264" t="str">
        <f t="shared" si="23"/>
        <v/>
      </c>
      <c r="F264" t="str">
        <f t="shared" si="24"/>
        <v/>
      </c>
      <c r="G264">
        <f t="shared" si="25"/>
        <v>0</v>
      </c>
    </row>
    <row r="265" spans="1:7" ht="15" customHeight="1" x14ac:dyDescent="0.2">
      <c r="A265" t="str">
        <f>Ritorno!S21</f>
        <v>Lazio</v>
      </c>
      <c r="B265" t="str">
        <f>IF(Ritorno!T21="","",Ritorno!T21)</f>
        <v/>
      </c>
      <c r="C265" t="str">
        <f>IF(Ritorno!U21="","",Ritorno!U21)</f>
        <v/>
      </c>
      <c r="D265" t="str">
        <f>Ritorno!V21</f>
        <v>Frosinone</v>
      </c>
      <c r="E265" t="str">
        <f t="shared" si="23"/>
        <v/>
      </c>
      <c r="F265" t="str">
        <f t="shared" si="24"/>
        <v/>
      </c>
      <c r="G265">
        <f t="shared" si="25"/>
        <v>0</v>
      </c>
    </row>
    <row r="266" spans="1:7" ht="15" customHeight="1" x14ac:dyDescent="0.2">
      <c r="A266" t="str">
        <f>Ritorno!S22</f>
        <v>Lecce</v>
      </c>
      <c r="B266" t="str">
        <f>IF(Ritorno!T22="","",Ritorno!T22)</f>
        <v/>
      </c>
      <c r="C266" t="str">
        <f>IF(Ritorno!U22="","",Ritorno!U22)</f>
        <v/>
      </c>
      <c r="D266" t="str">
        <f>Ritorno!V22</f>
        <v>Como</v>
      </c>
      <c r="E266" t="str">
        <f t="shared" si="23"/>
        <v/>
      </c>
      <c r="F266" t="str">
        <f t="shared" si="24"/>
        <v/>
      </c>
      <c r="G266">
        <f t="shared" si="25"/>
        <v>0</v>
      </c>
    </row>
    <row r="267" spans="1:7" ht="15" customHeight="1" x14ac:dyDescent="0.2">
      <c r="A267" t="str">
        <f>Ritorno!S23</f>
        <v>Milan</v>
      </c>
      <c r="B267" t="str">
        <f>IF(Ritorno!T23="","",Ritorno!T23)</f>
        <v/>
      </c>
      <c r="C267" t="str">
        <f>IF(Ritorno!U23="","",Ritorno!U23)</f>
        <v/>
      </c>
      <c r="D267" t="str">
        <f>Ritorno!V23</f>
        <v>Cagliari</v>
      </c>
      <c r="E267" t="str">
        <f t="shared" si="23"/>
        <v/>
      </c>
      <c r="F267" t="str">
        <f t="shared" si="24"/>
        <v/>
      </c>
      <c r="G267">
        <f t="shared" si="25"/>
        <v>0</v>
      </c>
    </row>
    <row r="268" spans="1:7" ht="15" customHeight="1" x14ac:dyDescent="0.2">
      <c r="A268" t="str">
        <f>Ritorno!S24</f>
        <v>Monza</v>
      </c>
      <c r="B268" t="str">
        <f>IF(Ritorno!T24="","",Ritorno!T24)</f>
        <v/>
      </c>
      <c r="C268" t="str">
        <f>IF(Ritorno!U24="","",Ritorno!U24)</f>
        <v/>
      </c>
      <c r="D268" t="str">
        <f>Ritorno!V24</f>
        <v>Genoa</v>
      </c>
      <c r="E268" t="str">
        <f t="shared" si="23"/>
        <v/>
      </c>
      <c r="F268" t="str">
        <f t="shared" si="24"/>
        <v/>
      </c>
      <c r="G268">
        <f t="shared" si="25"/>
        <v>0</v>
      </c>
    </row>
    <row r="269" spans="1:7" ht="15" customHeight="1" x14ac:dyDescent="0.2">
      <c r="A269" t="str">
        <f>Ritorno!S25</f>
        <v>Napoli</v>
      </c>
      <c r="B269" t="str">
        <f>IF(Ritorno!T25="","",Ritorno!T25)</f>
        <v/>
      </c>
      <c r="C269" t="str">
        <f>IF(Ritorno!U25="","",Ritorno!U25)</f>
        <v/>
      </c>
      <c r="D269" t="str">
        <f>Ritorno!V25</f>
        <v>Parma</v>
      </c>
      <c r="E269" t="str">
        <f t="shared" si="23"/>
        <v/>
      </c>
      <c r="F269" t="str">
        <f t="shared" si="24"/>
        <v/>
      </c>
      <c r="G269">
        <f t="shared" si="25"/>
        <v>0</v>
      </c>
    </row>
    <row r="270" spans="1:7" ht="15" customHeight="1" x14ac:dyDescent="0.2">
      <c r="A270" t="str">
        <f>Ritorno!S26</f>
        <v>Sassuolo</v>
      </c>
      <c r="B270" t="str">
        <f>IF(Ritorno!T26="","",Ritorno!T26)</f>
        <v/>
      </c>
      <c r="C270" t="str">
        <f>IF(Ritorno!U26="","",Ritorno!U26)</f>
        <v/>
      </c>
      <c r="D270" t="str">
        <f>Ritorno!V26</f>
        <v>Bologna</v>
      </c>
      <c r="E270" t="str">
        <f t="shared" si="23"/>
        <v/>
      </c>
      <c r="F270" t="str">
        <f t="shared" si="24"/>
        <v/>
      </c>
      <c r="G270">
        <f t="shared" si="25"/>
        <v>0</v>
      </c>
    </row>
    <row r="271" spans="1:7" ht="15" customHeight="1" x14ac:dyDescent="0.2">
      <c r="A271" t="str">
        <f>Ritorno!S27</f>
        <v>Udinese</v>
      </c>
      <c r="B271" t="str">
        <f>IF(Ritorno!T27="","",Ritorno!T27)</f>
        <v/>
      </c>
      <c r="C271" t="str">
        <f>IF(Ritorno!U27="","",Ritorno!U27)</f>
        <v/>
      </c>
      <c r="D271" t="str">
        <f>Ritorno!V27</f>
        <v>Inter</v>
      </c>
      <c r="E271" t="str">
        <f t="shared" si="23"/>
        <v/>
      </c>
      <c r="F271" t="str">
        <f t="shared" si="24"/>
        <v/>
      </c>
      <c r="G271">
        <f t="shared" si="25"/>
        <v>0</v>
      </c>
    </row>
    <row r="272" spans="1:7" ht="15" customHeight="1" x14ac:dyDescent="0.2">
      <c r="A272" t="str">
        <f>Ritorno!Y18</f>
        <v>Bologna</v>
      </c>
      <c r="B272" t="str">
        <f>IF(Ritorno!Z18="","",Ritorno!Z18)</f>
        <v/>
      </c>
      <c r="C272" t="str">
        <f>IF(Ritorno!AA18="","",Ritorno!AA18)</f>
        <v/>
      </c>
      <c r="D272" t="str">
        <f>Ritorno!AB18</f>
        <v>Napoli</v>
      </c>
      <c r="E272" t="str">
        <f t="shared" si="23"/>
        <v/>
      </c>
      <c r="F272" t="str">
        <f t="shared" si="24"/>
        <v/>
      </c>
      <c r="G272">
        <f t="shared" si="25"/>
        <v>0</v>
      </c>
    </row>
    <row r="273" spans="1:7" ht="15" customHeight="1" x14ac:dyDescent="0.2">
      <c r="A273" t="str">
        <f>Ritorno!Y19</f>
        <v>Cagliari</v>
      </c>
      <c r="B273" t="str">
        <f>IF(Ritorno!Z19="","",Ritorno!Z19)</f>
        <v/>
      </c>
      <c r="C273" t="str">
        <f>IF(Ritorno!AA19="","",Ritorno!AA19)</f>
        <v/>
      </c>
      <c r="D273" t="str">
        <f>Ritorno!AB19</f>
        <v>Fiorentina</v>
      </c>
      <c r="E273" t="str">
        <f t="shared" si="23"/>
        <v/>
      </c>
      <c r="F273" t="str">
        <f t="shared" si="24"/>
        <v/>
      </c>
      <c r="G273">
        <f t="shared" si="25"/>
        <v>0</v>
      </c>
    </row>
    <row r="274" spans="1:7" ht="15" customHeight="1" x14ac:dyDescent="0.2">
      <c r="A274" t="str">
        <f>Ritorno!Y20</f>
        <v>Como</v>
      </c>
      <c r="B274" t="str">
        <f>IF(Ritorno!Z20="","",Ritorno!Z20)</f>
        <v/>
      </c>
      <c r="C274" t="str">
        <f>IF(Ritorno!AA20="","",Ritorno!AA20)</f>
        <v/>
      </c>
      <c r="D274" t="str">
        <f>Ritorno!AB20</f>
        <v>Udinese</v>
      </c>
      <c r="E274" t="str">
        <f t="shared" si="23"/>
        <v/>
      </c>
      <c r="F274" t="str">
        <f t="shared" si="24"/>
        <v/>
      </c>
      <c r="G274">
        <f t="shared" si="25"/>
        <v>0</v>
      </c>
    </row>
    <row r="275" spans="1:7" ht="15" customHeight="1" x14ac:dyDescent="0.2">
      <c r="A275" t="str">
        <f>Ritorno!Y21</f>
        <v>Frosinone</v>
      </c>
      <c r="B275" t="str">
        <f>IF(Ritorno!Z21="","",Ritorno!Z21)</f>
        <v/>
      </c>
      <c r="C275" t="str">
        <f>IF(Ritorno!AA21="","",Ritorno!AA21)</f>
        <v/>
      </c>
      <c r="D275" t="str">
        <f>Ritorno!AB21</f>
        <v>Monza</v>
      </c>
      <c r="E275" t="str">
        <f t="shared" si="23"/>
        <v/>
      </c>
      <c r="F275" t="str">
        <f t="shared" si="24"/>
        <v/>
      </c>
      <c r="G275">
        <f t="shared" si="25"/>
        <v>0</v>
      </c>
    </row>
    <row r="276" spans="1:7" ht="15" customHeight="1" x14ac:dyDescent="0.2">
      <c r="A276" t="str">
        <f>Ritorno!Y22</f>
        <v>Genoa</v>
      </c>
      <c r="B276" t="str">
        <f>IF(Ritorno!Z22="","",Ritorno!Z22)</f>
        <v/>
      </c>
      <c r="C276" t="str">
        <f>IF(Ritorno!AA22="","",Ritorno!AA22)</f>
        <v/>
      </c>
      <c r="D276" t="str">
        <f>Ritorno!AB22</f>
        <v>Roma</v>
      </c>
      <c r="E276" t="str">
        <f t="shared" si="23"/>
        <v/>
      </c>
      <c r="F276" t="str">
        <f t="shared" si="24"/>
        <v/>
      </c>
      <c r="G276">
        <f t="shared" si="25"/>
        <v>0</v>
      </c>
    </row>
    <row r="277" spans="1:7" ht="15" customHeight="1" x14ac:dyDescent="0.2">
      <c r="A277" t="str">
        <f>Ritorno!Y23</f>
        <v>Lazio</v>
      </c>
      <c r="B277" t="str">
        <f>IF(Ritorno!Z23="","",Ritorno!Z23)</f>
        <v/>
      </c>
      <c r="C277" t="str">
        <f>IF(Ritorno!AA23="","",Ritorno!AA23)</f>
        <v/>
      </c>
      <c r="D277" t="str">
        <f>Ritorno!AB23</f>
        <v>Juventus</v>
      </c>
      <c r="E277" t="str">
        <f t="shared" si="23"/>
        <v/>
      </c>
      <c r="F277" t="str">
        <f t="shared" si="24"/>
        <v/>
      </c>
      <c r="G277">
        <f t="shared" si="25"/>
        <v>0</v>
      </c>
    </row>
    <row r="278" spans="1:7" ht="15" customHeight="1" x14ac:dyDescent="0.2">
      <c r="A278" t="str">
        <f>Ritorno!Y24</f>
        <v>Milan</v>
      </c>
      <c r="B278" t="str">
        <f>IF(Ritorno!Z24="","",Ritorno!Z24)</f>
        <v/>
      </c>
      <c r="C278" t="str">
        <f>IF(Ritorno!AA24="","",Ritorno!AA24)</f>
        <v/>
      </c>
      <c r="D278" t="str">
        <f>Ritorno!AB24</f>
        <v>Sassuolo</v>
      </c>
      <c r="E278" t="str">
        <f t="shared" si="23"/>
        <v/>
      </c>
      <c r="F278" t="str">
        <f t="shared" si="24"/>
        <v/>
      </c>
      <c r="G278">
        <f t="shared" si="25"/>
        <v>0</v>
      </c>
    </row>
    <row r="279" spans="1:7" ht="15" customHeight="1" x14ac:dyDescent="0.2">
      <c r="A279" t="str">
        <f>Ritorno!Y25</f>
        <v>Parma</v>
      </c>
      <c r="B279" t="str">
        <f>IF(Ritorno!Z25="","",Ritorno!Z25)</f>
        <v/>
      </c>
      <c r="C279" t="str">
        <f>IF(Ritorno!AA25="","",Ritorno!AA25)</f>
        <v/>
      </c>
      <c r="D279" t="str">
        <f>Ritorno!AB25</f>
        <v>Lecce</v>
      </c>
      <c r="E279" t="str">
        <f t="shared" si="23"/>
        <v/>
      </c>
      <c r="F279" t="str">
        <f t="shared" si="24"/>
        <v/>
      </c>
      <c r="G279">
        <f t="shared" si="25"/>
        <v>0</v>
      </c>
    </row>
    <row r="280" spans="1:7" ht="15" customHeight="1" x14ac:dyDescent="0.2">
      <c r="A280" t="str">
        <f>Ritorno!Y26</f>
        <v>Torino</v>
      </c>
      <c r="B280" t="str">
        <f>IF(Ritorno!Z26="","",Ritorno!Z26)</f>
        <v/>
      </c>
      <c r="C280" t="str">
        <f>IF(Ritorno!AA26="","",Ritorno!AA26)</f>
        <v/>
      </c>
      <c r="D280" t="str">
        <f>Ritorno!AB26</f>
        <v>Inter</v>
      </c>
      <c r="E280" t="str">
        <f t="shared" si="23"/>
        <v/>
      </c>
      <c r="F280" t="str">
        <f t="shared" si="24"/>
        <v/>
      </c>
      <c r="G280">
        <f t="shared" si="25"/>
        <v>0</v>
      </c>
    </row>
    <row r="281" spans="1:7" ht="15" customHeight="1" x14ac:dyDescent="0.2">
      <c r="A281" t="str">
        <f>Ritorno!Y27</f>
        <v>Venezia</v>
      </c>
      <c r="B281" t="str">
        <f>IF(Ritorno!Z27="","",Ritorno!Z27)</f>
        <v/>
      </c>
      <c r="C281" t="str">
        <f>IF(Ritorno!AA27="","",Ritorno!AA27)</f>
        <v/>
      </c>
      <c r="D281" t="str">
        <f>Ritorno!AB27</f>
        <v>Atalanta</v>
      </c>
      <c r="E281" t="str">
        <f t="shared" si="23"/>
        <v/>
      </c>
      <c r="F281" t="str">
        <f t="shared" si="24"/>
        <v/>
      </c>
      <c r="G281">
        <f t="shared" si="25"/>
        <v>0</v>
      </c>
    </row>
    <row r="282" spans="1:7" ht="15" customHeight="1" x14ac:dyDescent="0.2">
      <c r="A282" t="str">
        <f>Ritorno!A32</f>
        <v>Atalanta</v>
      </c>
      <c r="B282" t="str">
        <f>IF(Ritorno!B32="","",Ritorno!B32)</f>
        <v/>
      </c>
      <c r="C282" t="str">
        <f>IF(Ritorno!C32="","",Ritorno!C32)</f>
        <v/>
      </c>
      <c r="D282" t="str">
        <f>Ritorno!D32</f>
        <v>Milan</v>
      </c>
      <c r="E282" t="str">
        <f t="shared" si="23"/>
        <v/>
      </c>
      <c r="F282" t="str">
        <f t="shared" si="24"/>
        <v/>
      </c>
      <c r="G282">
        <f t="shared" si="25"/>
        <v>0</v>
      </c>
    </row>
    <row r="283" spans="1:7" ht="15" customHeight="1" x14ac:dyDescent="0.2">
      <c r="A283" t="str">
        <f>Ritorno!A33</f>
        <v>Fiorentina</v>
      </c>
      <c r="B283" t="str">
        <f>IF(Ritorno!B33="","",Ritorno!B33)</f>
        <v/>
      </c>
      <c r="C283" t="str">
        <f>IF(Ritorno!C33="","",Ritorno!C33)</f>
        <v/>
      </c>
      <c r="D283" t="str">
        <f>Ritorno!D33</f>
        <v>Genoa</v>
      </c>
      <c r="E283" t="str">
        <f t="shared" si="23"/>
        <v/>
      </c>
      <c r="F283" t="str">
        <f t="shared" si="24"/>
        <v/>
      </c>
      <c r="G283">
        <f t="shared" si="25"/>
        <v>0</v>
      </c>
    </row>
    <row r="284" spans="1:7" ht="15" customHeight="1" x14ac:dyDescent="0.2">
      <c r="A284" t="str">
        <f>Ritorno!A34</f>
        <v>Inter</v>
      </c>
      <c r="B284" t="str">
        <f>IF(Ritorno!B34="","",Ritorno!B34)</f>
        <v/>
      </c>
      <c r="C284" t="str">
        <f>IF(Ritorno!C34="","",Ritorno!C34)</f>
        <v/>
      </c>
      <c r="D284" t="str">
        <f>Ritorno!D34</f>
        <v>Frosinone</v>
      </c>
      <c r="E284" t="str">
        <f t="shared" si="23"/>
        <v/>
      </c>
      <c r="F284" t="str">
        <f t="shared" si="24"/>
        <v/>
      </c>
      <c r="G284">
        <f t="shared" si="25"/>
        <v>0</v>
      </c>
    </row>
    <row r="285" spans="1:7" ht="15" customHeight="1" x14ac:dyDescent="0.2">
      <c r="A285" t="str">
        <f>Ritorno!A35</f>
        <v>Juventus</v>
      </c>
      <c r="B285" t="str">
        <f>IF(Ritorno!B35="","",Ritorno!B35)</f>
        <v/>
      </c>
      <c r="C285" t="str">
        <f>IF(Ritorno!C35="","",Ritorno!C35)</f>
        <v/>
      </c>
      <c r="D285" t="str">
        <f>Ritorno!D35</f>
        <v>Como</v>
      </c>
      <c r="E285" t="str">
        <f t="shared" si="23"/>
        <v/>
      </c>
      <c r="F285" t="str">
        <f t="shared" si="24"/>
        <v/>
      </c>
      <c r="G285">
        <f t="shared" si="25"/>
        <v>0</v>
      </c>
    </row>
    <row r="286" spans="1:7" ht="15" customHeight="1" x14ac:dyDescent="0.2">
      <c r="A286" t="str">
        <f>Ritorno!A36</f>
        <v>Monza</v>
      </c>
      <c r="B286" t="str">
        <f>IF(Ritorno!B36="","",Ritorno!B36)</f>
        <v/>
      </c>
      <c r="C286" t="str">
        <f>IF(Ritorno!C36="","",Ritorno!C36)</f>
        <v/>
      </c>
      <c r="D286" t="str">
        <f>Ritorno!D36</f>
        <v>Bologna</v>
      </c>
      <c r="E286" t="str">
        <f t="shared" si="23"/>
        <v/>
      </c>
      <c r="F286" t="str">
        <f t="shared" si="24"/>
        <v/>
      </c>
      <c r="G286">
        <f t="shared" si="25"/>
        <v>0</v>
      </c>
    </row>
    <row r="287" spans="1:7" ht="15" customHeight="1" x14ac:dyDescent="0.2">
      <c r="A287" t="str">
        <f>Ritorno!A37</f>
        <v>Napoli</v>
      </c>
      <c r="B287" t="str">
        <f>IF(Ritorno!B37="","",Ritorno!B37)</f>
        <v/>
      </c>
      <c r="C287" t="str">
        <f>IF(Ritorno!C37="","",Ritorno!C37)</f>
        <v/>
      </c>
      <c r="D287" t="str">
        <f>Ritorno!D37</f>
        <v>Venezia</v>
      </c>
      <c r="E287" t="str">
        <f t="shared" si="23"/>
        <v/>
      </c>
      <c r="F287" t="str">
        <f t="shared" si="24"/>
        <v/>
      </c>
      <c r="G287">
        <f t="shared" si="25"/>
        <v>0</v>
      </c>
    </row>
    <row r="288" spans="1:7" ht="15" customHeight="1" x14ac:dyDescent="0.2">
      <c r="A288" t="str">
        <f>Ritorno!A38</f>
        <v>Parma</v>
      </c>
      <c r="B288" t="str">
        <f>IF(Ritorno!B38="","",Ritorno!B38)</f>
        <v/>
      </c>
      <c r="C288" t="str">
        <f>IF(Ritorno!C38="","",Ritorno!C38)</f>
        <v/>
      </c>
      <c r="D288" t="str">
        <f>Ritorno!D38</f>
        <v>Lazio</v>
      </c>
      <c r="E288" t="str">
        <f t="shared" si="23"/>
        <v/>
      </c>
      <c r="F288" t="str">
        <f t="shared" si="24"/>
        <v/>
      </c>
      <c r="G288">
        <f t="shared" si="25"/>
        <v>0</v>
      </c>
    </row>
    <row r="289" spans="1:7" ht="15" customHeight="1" x14ac:dyDescent="0.2">
      <c r="A289" t="str">
        <f>Ritorno!A39</f>
        <v>Roma</v>
      </c>
      <c r="B289" t="str">
        <f>IF(Ritorno!B39="","",Ritorno!B39)</f>
        <v/>
      </c>
      <c r="C289" t="str">
        <f>IF(Ritorno!C39="","",Ritorno!C39)</f>
        <v/>
      </c>
      <c r="D289" t="str">
        <f>Ritorno!D39</f>
        <v>Lecce</v>
      </c>
      <c r="E289" t="str">
        <f t="shared" si="23"/>
        <v/>
      </c>
      <c r="F289" t="str">
        <f t="shared" si="24"/>
        <v/>
      </c>
      <c r="G289">
        <f t="shared" si="25"/>
        <v>0</v>
      </c>
    </row>
    <row r="290" spans="1:7" ht="15" customHeight="1" x14ac:dyDescent="0.2">
      <c r="A290" t="str">
        <f>Ritorno!A40</f>
        <v>Sassuolo</v>
      </c>
      <c r="B290" t="str">
        <f>IF(Ritorno!B40="","",Ritorno!B40)</f>
        <v/>
      </c>
      <c r="C290" t="str">
        <f>IF(Ritorno!C40="","",Ritorno!C40)</f>
        <v/>
      </c>
      <c r="D290" t="str">
        <f>Ritorno!D40</f>
        <v>Cagliari</v>
      </c>
      <c r="E290" t="str">
        <f t="shared" si="23"/>
        <v/>
      </c>
      <c r="F290" t="str">
        <f t="shared" si="24"/>
        <v/>
      </c>
      <c r="G290">
        <f t="shared" si="25"/>
        <v>0</v>
      </c>
    </row>
    <row r="291" spans="1:7" ht="15" customHeight="1" x14ac:dyDescent="0.2">
      <c r="A291" t="str">
        <f>Ritorno!A41</f>
        <v>Udinese</v>
      </c>
      <c r="B291" t="str">
        <f>IF(Ritorno!B41="","",Ritorno!B41)</f>
        <v/>
      </c>
      <c r="C291" t="str">
        <f>IF(Ritorno!C41="","",Ritorno!C41)</f>
        <v/>
      </c>
      <c r="D291" t="str">
        <f>Ritorno!D41</f>
        <v>Torino</v>
      </c>
      <c r="E291" t="str">
        <f t="shared" si="23"/>
        <v/>
      </c>
      <c r="F291" t="str">
        <f t="shared" si="24"/>
        <v/>
      </c>
      <c r="G291">
        <f t="shared" si="25"/>
        <v>0</v>
      </c>
    </row>
    <row r="292" spans="1:7" ht="15" customHeight="1" x14ac:dyDescent="0.2">
      <c r="A292" t="str">
        <f>Ritorno!G32</f>
        <v>Cagliari</v>
      </c>
      <c r="B292" t="str">
        <f>IF(Ritorno!H32="","",Ritorno!H32)</f>
        <v/>
      </c>
      <c r="C292" t="str">
        <f>IF(Ritorno!I32="","",Ritorno!I32)</f>
        <v/>
      </c>
      <c r="D292" t="str">
        <f>Ritorno!J32</f>
        <v>Napoli</v>
      </c>
      <c r="E292" t="str">
        <f t="shared" si="23"/>
        <v/>
      </c>
      <c r="F292" t="str">
        <f t="shared" si="24"/>
        <v/>
      </c>
      <c r="G292">
        <f t="shared" si="25"/>
        <v>0</v>
      </c>
    </row>
    <row r="293" spans="1:7" ht="15" customHeight="1" x14ac:dyDescent="0.2">
      <c r="A293" t="str">
        <f>Ritorno!G33</f>
        <v>Como</v>
      </c>
      <c r="B293" t="str">
        <f>IF(Ritorno!H33="","",Ritorno!H33)</f>
        <v/>
      </c>
      <c r="C293" t="str">
        <f>IF(Ritorno!I33="","",Ritorno!I33)</f>
        <v/>
      </c>
      <c r="D293" t="str">
        <f>Ritorno!J33</f>
        <v>Fiorentina</v>
      </c>
      <c r="E293" t="str">
        <f t="shared" si="23"/>
        <v/>
      </c>
      <c r="F293" t="str">
        <f t="shared" si="24"/>
        <v/>
      </c>
      <c r="G293">
        <f t="shared" si="25"/>
        <v>0</v>
      </c>
    </row>
    <row r="294" spans="1:7" ht="15" customHeight="1" x14ac:dyDescent="0.2">
      <c r="A294" t="str">
        <f>Ritorno!G34</f>
        <v>Frosinone</v>
      </c>
      <c r="B294" t="str">
        <f>IF(Ritorno!H34="","",Ritorno!H34)</f>
        <v/>
      </c>
      <c r="C294" t="str">
        <f>IF(Ritorno!I34="","",Ritorno!I34)</f>
        <v/>
      </c>
      <c r="D294" t="str">
        <f>Ritorno!J34</f>
        <v>Udinese</v>
      </c>
      <c r="E294" t="str">
        <f t="shared" si="23"/>
        <v/>
      </c>
      <c r="F294" t="str">
        <f t="shared" si="24"/>
        <v/>
      </c>
      <c r="G294">
        <f t="shared" si="25"/>
        <v>0</v>
      </c>
    </row>
    <row r="295" spans="1:7" ht="15" customHeight="1" x14ac:dyDescent="0.2">
      <c r="A295" t="str">
        <f>Ritorno!G35</f>
        <v>Genoa</v>
      </c>
      <c r="B295" t="str">
        <f>IF(Ritorno!H35="","",Ritorno!H35)</f>
        <v/>
      </c>
      <c r="C295" t="str">
        <f>IF(Ritorno!I35="","",Ritorno!I35)</f>
        <v/>
      </c>
      <c r="D295" t="str">
        <f>Ritorno!J35</f>
        <v>Inter</v>
      </c>
      <c r="E295" t="str">
        <f t="shared" si="23"/>
        <v/>
      </c>
      <c r="F295" t="str">
        <f t="shared" si="24"/>
        <v/>
      </c>
      <c r="G295">
        <f t="shared" si="25"/>
        <v>0</v>
      </c>
    </row>
    <row r="296" spans="1:7" ht="15" customHeight="1" x14ac:dyDescent="0.2">
      <c r="A296" t="str">
        <f>Ritorno!G36</f>
        <v>Lecce</v>
      </c>
      <c r="B296" t="str">
        <f>IF(Ritorno!H36="","",Ritorno!H36)</f>
        <v/>
      </c>
      <c r="C296" t="str">
        <f>IF(Ritorno!I36="","",Ritorno!I36)</f>
        <v/>
      </c>
      <c r="D296" t="str">
        <f>Ritorno!J36</f>
        <v>Lazio</v>
      </c>
      <c r="E296" t="str">
        <f t="shared" si="23"/>
        <v/>
      </c>
      <c r="F296" t="str">
        <f t="shared" si="24"/>
        <v/>
      </c>
      <c r="G296">
        <f t="shared" si="25"/>
        <v>0</v>
      </c>
    </row>
    <row r="297" spans="1:7" ht="15" customHeight="1" x14ac:dyDescent="0.2">
      <c r="A297" t="str">
        <f>Ritorno!G37</f>
        <v>Milan</v>
      </c>
      <c r="B297" t="str">
        <f>IF(Ritorno!H37="","",Ritorno!H37)</f>
        <v/>
      </c>
      <c r="C297" t="str">
        <f>IF(Ritorno!I37="","",Ritorno!I37)</f>
        <v/>
      </c>
      <c r="D297" t="str">
        <f>Ritorno!J37</f>
        <v>Monza</v>
      </c>
      <c r="E297" t="str">
        <f t="shared" si="23"/>
        <v/>
      </c>
      <c r="F297" t="str">
        <f t="shared" si="24"/>
        <v/>
      </c>
      <c r="G297">
        <f t="shared" si="25"/>
        <v>0</v>
      </c>
    </row>
    <row r="298" spans="1:7" ht="15" customHeight="1" x14ac:dyDescent="0.2">
      <c r="A298" t="str">
        <f>Ritorno!G38</f>
        <v>Roma</v>
      </c>
      <c r="B298" t="str">
        <f>IF(Ritorno!H38="","",Ritorno!H38)</f>
        <v/>
      </c>
      <c r="C298" t="str">
        <f>IF(Ritorno!I38="","",Ritorno!I38)</f>
        <v/>
      </c>
      <c r="D298" t="str">
        <f>Ritorno!J38</f>
        <v>Bologna</v>
      </c>
      <c r="E298" t="str">
        <f t="shared" si="23"/>
        <v/>
      </c>
      <c r="F298" t="str">
        <f t="shared" si="24"/>
        <v/>
      </c>
      <c r="G298">
        <f t="shared" si="25"/>
        <v>0</v>
      </c>
    </row>
    <row r="299" spans="1:7" ht="15" customHeight="1" x14ac:dyDescent="0.2">
      <c r="A299" t="str">
        <f>Ritorno!G39</f>
        <v>Sassuolo</v>
      </c>
      <c r="B299" t="str">
        <f>IF(Ritorno!H39="","",Ritorno!H39)</f>
        <v/>
      </c>
      <c r="C299" t="str">
        <f>IF(Ritorno!I39="","",Ritorno!I39)</f>
        <v/>
      </c>
      <c r="D299" t="str">
        <f>Ritorno!J39</f>
        <v>Atalanta</v>
      </c>
      <c r="E299" t="str">
        <f t="shared" si="23"/>
        <v/>
      </c>
      <c r="F299" t="str">
        <f t="shared" si="24"/>
        <v/>
      </c>
      <c r="G299">
        <f t="shared" si="25"/>
        <v>0</v>
      </c>
    </row>
    <row r="300" spans="1:7" ht="15" customHeight="1" x14ac:dyDescent="0.2">
      <c r="A300" t="str">
        <f>Ritorno!G40</f>
        <v>Torino</v>
      </c>
      <c r="B300" t="str">
        <f>IF(Ritorno!H40="","",Ritorno!H40)</f>
        <v/>
      </c>
      <c r="C300" t="str">
        <f>IF(Ritorno!I40="","",Ritorno!I40)</f>
        <v/>
      </c>
      <c r="D300" t="str">
        <f>Ritorno!J40</f>
        <v>Juventus</v>
      </c>
      <c r="E300" t="str">
        <f t="shared" si="23"/>
        <v/>
      </c>
      <c r="F300" t="str">
        <f t="shared" si="24"/>
        <v/>
      </c>
      <c r="G300">
        <f t="shared" si="25"/>
        <v>0</v>
      </c>
    </row>
    <row r="301" spans="1:7" ht="15" customHeight="1" x14ac:dyDescent="0.2">
      <c r="A301" t="str">
        <f>Ritorno!G41</f>
        <v>Venezia</v>
      </c>
      <c r="B301" t="str">
        <f>IF(Ritorno!H41="","",Ritorno!H41)</f>
        <v/>
      </c>
      <c r="C301" t="str">
        <f>IF(Ritorno!I41="","",Ritorno!I41)</f>
        <v/>
      </c>
      <c r="D301" t="str">
        <f>Ritorno!J41</f>
        <v>Parma</v>
      </c>
      <c r="E301" t="str">
        <f t="shared" si="23"/>
        <v/>
      </c>
      <c r="F301" t="str">
        <f t="shared" si="24"/>
        <v/>
      </c>
      <c r="G301">
        <f t="shared" si="25"/>
        <v>0</v>
      </c>
    </row>
    <row r="302" spans="1:7" ht="15" customHeight="1" x14ac:dyDescent="0.2">
      <c r="A302" t="str">
        <f>Ritorno!M32</f>
        <v>Bologna</v>
      </c>
      <c r="B302" t="str">
        <f>IF(Ritorno!N32="","",Ritorno!N32)</f>
        <v/>
      </c>
      <c r="C302" t="str">
        <f>IF(Ritorno!O32="","",Ritorno!O32)</f>
        <v/>
      </c>
      <c r="D302" t="str">
        <f>Ritorno!P32</f>
        <v>Venezia</v>
      </c>
      <c r="E302" t="str">
        <f t="shared" si="23"/>
        <v/>
      </c>
      <c r="F302" t="str">
        <f t="shared" si="24"/>
        <v/>
      </c>
      <c r="G302">
        <f t="shared" si="25"/>
        <v>0</v>
      </c>
    </row>
    <row r="303" spans="1:7" ht="15" customHeight="1" x14ac:dyDescent="0.2">
      <c r="A303" t="str">
        <f>Ritorno!M33</f>
        <v>Cagliari</v>
      </c>
      <c r="B303" t="str">
        <f>IF(Ritorno!N33="","",Ritorno!N33)</f>
        <v/>
      </c>
      <c r="C303" t="str">
        <f>IF(Ritorno!O33="","",Ritorno!O33)</f>
        <v/>
      </c>
      <c r="D303" t="str">
        <f>Ritorno!P33</f>
        <v>Atalanta</v>
      </c>
      <c r="E303" t="str">
        <f t="shared" si="23"/>
        <v/>
      </c>
      <c r="F303" t="str">
        <f t="shared" si="24"/>
        <v/>
      </c>
      <c r="G303">
        <f t="shared" si="25"/>
        <v>0</v>
      </c>
    </row>
    <row r="304" spans="1:7" ht="15" customHeight="1" x14ac:dyDescent="0.2">
      <c r="A304" t="str">
        <f>Ritorno!M34</f>
        <v>Fiorentina</v>
      </c>
      <c r="B304" t="str">
        <f>IF(Ritorno!N34="","",Ritorno!N34)</f>
        <v/>
      </c>
      <c r="C304" t="str">
        <f>IF(Ritorno!O34="","",Ritorno!O34)</f>
        <v/>
      </c>
      <c r="D304" t="str">
        <f>Ritorno!P34</f>
        <v>Milan</v>
      </c>
      <c r="E304" t="str">
        <f t="shared" si="23"/>
        <v/>
      </c>
      <c r="F304" t="str">
        <f t="shared" si="24"/>
        <v/>
      </c>
      <c r="G304">
        <f t="shared" si="25"/>
        <v>0</v>
      </c>
    </row>
    <row r="305" spans="1:7" ht="15" customHeight="1" x14ac:dyDescent="0.2">
      <c r="A305" t="str">
        <f>Ritorno!M35</f>
        <v>Frosinone</v>
      </c>
      <c r="B305" t="str">
        <f>IF(Ritorno!N35="","",Ritorno!N35)</f>
        <v/>
      </c>
      <c r="C305" t="str">
        <f>IF(Ritorno!O35="","",Ritorno!O35)</f>
        <v/>
      </c>
      <c r="D305" t="str">
        <f>Ritorno!P35</f>
        <v>Genoa</v>
      </c>
      <c r="E305" t="str">
        <f t="shared" si="23"/>
        <v/>
      </c>
      <c r="F305" t="str">
        <f t="shared" si="24"/>
        <v/>
      </c>
      <c r="G305">
        <f t="shared" si="25"/>
        <v>0</v>
      </c>
    </row>
    <row r="306" spans="1:7" ht="15" customHeight="1" x14ac:dyDescent="0.2">
      <c r="A306" t="str">
        <f>Ritorno!M36</f>
        <v>Inter</v>
      </c>
      <c r="B306" t="str">
        <f>IF(Ritorno!N36="","",Ritorno!N36)</f>
        <v/>
      </c>
      <c r="C306" t="str">
        <f>IF(Ritorno!O36="","",Ritorno!O36)</f>
        <v/>
      </c>
      <c r="D306" t="str">
        <f>Ritorno!P36</f>
        <v>Roma</v>
      </c>
      <c r="E306" t="str">
        <f t="shared" si="23"/>
        <v/>
      </c>
      <c r="F306" t="str">
        <f t="shared" si="24"/>
        <v/>
      </c>
      <c r="G306">
        <f t="shared" si="25"/>
        <v>0</v>
      </c>
    </row>
    <row r="307" spans="1:7" ht="15" customHeight="1" x14ac:dyDescent="0.2">
      <c r="A307" t="str">
        <f>Ritorno!M37</f>
        <v>Juventus</v>
      </c>
      <c r="B307" t="str">
        <f>IF(Ritorno!N37="","",Ritorno!N37)</f>
        <v/>
      </c>
      <c r="C307" t="str">
        <f>IF(Ritorno!O37="","",Ritorno!O37)</f>
        <v/>
      </c>
      <c r="D307" t="str">
        <f>Ritorno!P37</f>
        <v>Lecce</v>
      </c>
      <c r="E307" t="str">
        <f t="shared" si="23"/>
        <v/>
      </c>
      <c r="F307" t="str">
        <f t="shared" si="24"/>
        <v/>
      </c>
      <c r="G307">
        <f t="shared" si="25"/>
        <v>0</v>
      </c>
    </row>
    <row r="308" spans="1:7" ht="15" customHeight="1" x14ac:dyDescent="0.2">
      <c r="A308" t="str">
        <f>Ritorno!M38</f>
        <v>Lazio</v>
      </c>
      <c r="B308" t="str">
        <f>IF(Ritorno!N38="","",Ritorno!N38)</f>
        <v/>
      </c>
      <c r="C308" t="str">
        <f>IF(Ritorno!O38="","",Ritorno!O38)</f>
        <v/>
      </c>
      <c r="D308" t="str">
        <f>Ritorno!P38</f>
        <v>Torino</v>
      </c>
      <c r="E308" t="str">
        <f t="shared" si="23"/>
        <v/>
      </c>
      <c r="F308" t="str">
        <f t="shared" si="24"/>
        <v/>
      </c>
      <c r="G308">
        <f t="shared" si="25"/>
        <v>0</v>
      </c>
    </row>
    <row r="309" spans="1:7" ht="15" customHeight="1" x14ac:dyDescent="0.2">
      <c r="A309" t="str">
        <f>Ritorno!M39</f>
        <v>Napoli</v>
      </c>
      <c r="B309" t="str">
        <f>IF(Ritorno!N39="","",Ritorno!N39)</f>
        <v/>
      </c>
      <c r="C309" t="str">
        <f>IF(Ritorno!O39="","",Ritorno!O39)</f>
        <v/>
      </c>
      <c r="D309" t="str">
        <f>Ritorno!P39</f>
        <v>Sassuolo</v>
      </c>
      <c r="E309" t="str">
        <f t="shared" si="23"/>
        <v/>
      </c>
      <c r="F309" t="str">
        <f t="shared" si="24"/>
        <v/>
      </c>
      <c r="G309">
        <f t="shared" si="25"/>
        <v>0</v>
      </c>
    </row>
    <row r="310" spans="1:7" ht="15" customHeight="1" x14ac:dyDescent="0.2">
      <c r="A310" t="str">
        <f>Ritorno!M40</f>
        <v>Parma</v>
      </c>
      <c r="B310" t="str">
        <f>IF(Ritorno!N40="","",Ritorno!N40)</f>
        <v/>
      </c>
      <c r="C310" t="str">
        <f>IF(Ritorno!O40="","",Ritorno!O40)</f>
        <v/>
      </c>
      <c r="D310" t="str">
        <f>Ritorno!P40</f>
        <v>Como</v>
      </c>
      <c r="E310" t="str">
        <f t="shared" si="23"/>
        <v/>
      </c>
      <c r="F310" t="str">
        <f t="shared" si="24"/>
        <v/>
      </c>
      <c r="G310">
        <f t="shared" si="25"/>
        <v>0</v>
      </c>
    </row>
    <row r="311" spans="1:7" ht="15" customHeight="1" x14ac:dyDescent="0.2">
      <c r="A311" t="str">
        <f>Ritorno!M41</f>
        <v>Udinese</v>
      </c>
      <c r="B311" t="str">
        <f>IF(Ritorno!N41="","",Ritorno!N41)</f>
        <v/>
      </c>
      <c r="C311" t="str">
        <f>IF(Ritorno!O41="","",Ritorno!O41)</f>
        <v/>
      </c>
      <c r="D311" t="str">
        <f>Ritorno!P41</f>
        <v>Monza</v>
      </c>
      <c r="E311" t="str">
        <f t="shared" si="23"/>
        <v/>
      </c>
      <c r="F311" t="str">
        <f t="shared" si="24"/>
        <v/>
      </c>
      <c r="G311">
        <f t="shared" si="25"/>
        <v>0</v>
      </c>
    </row>
    <row r="312" spans="1:7" ht="15" customHeight="1" x14ac:dyDescent="0.2">
      <c r="A312" t="str">
        <f>Ritorno!S32</f>
        <v>Atalanta</v>
      </c>
      <c r="B312" t="str">
        <f>IF(Ritorno!T32="","",Ritorno!T32)</f>
        <v/>
      </c>
      <c r="C312" t="str">
        <f>IF(Ritorno!U32="","",Ritorno!U32)</f>
        <v/>
      </c>
      <c r="D312" t="str">
        <f>Ritorno!V32</f>
        <v>Udinese</v>
      </c>
      <c r="E312" t="str">
        <f t="shared" si="23"/>
        <v/>
      </c>
      <c r="F312" t="str">
        <f t="shared" si="24"/>
        <v/>
      </c>
      <c r="G312">
        <f t="shared" si="25"/>
        <v>0</v>
      </c>
    </row>
    <row r="313" spans="1:7" ht="15" customHeight="1" x14ac:dyDescent="0.2">
      <c r="A313" t="str">
        <f>Ritorno!S33</f>
        <v>Bologna</v>
      </c>
      <c r="B313" t="str">
        <f>IF(Ritorno!T33="","",Ritorno!T33)</f>
        <v/>
      </c>
      <c r="C313" t="str">
        <f>IF(Ritorno!U33="","",Ritorno!U33)</f>
        <v/>
      </c>
      <c r="D313" t="str">
        <f>Ritorno!V33</f>
        <v>Cagliari</v>
      </c>
      <c r="E313" t="str">
        <f t="shared" si="23"/>
        <v/>
      </c>
      <c r="F313" t="str">
        <f t="shared" si="24"/>
        <v/>
      </c>
      <c r="G313">
        <f t="shared" si="25"/>
        <v>0</v>
      </c>
    </row>
    <row r="314" spans="1:7" ht="15" customHeight="1" x14ac:dyDescent="0.2">
      <c r="A314" t="str">
        <f>Ritorno!S34</f>
        <v>Como</v>
      </c>
      <c r="B314" t="str">
        <f>IF(Ritorno!T34="","",Ritorno!T34)</f>
        <v/>
      </c>
      <c r="C314" t="str">
        <f>IF(Ritorno!U34="","",Ritorno!U34)</f>
        <v/>
      </c>
      <c r="D314" t="str">
        <f>Ritorno!V34</f>
        <v>Frosinone</v>
      </c>
      <c r="E314" t="str">
        <f t="shared" si="23"/>
        <v/>
      </c>
      <c r="F314" t="str">
        <f t="shared" si="24"/>
        <v/>
      </c>
      <c r="G314">
        <f t="shared" si="25"/>
        <v>0</v>
      </c>
    </row>
    <row r="315" spans="1:7" ht="15" customHeight="1" x14ac:dyDescent="0.2">
      <c r="A315" t="str">
        <f>Ritorno!S35</f>
        <v>Fiorentina</v>
      </c>
      <c r="B315" t="str">
        <f>IF(Ritorno!T35="","",Ritorno!T35)</f>
        <v/>
      </c>
      <c r="C315" t="str">
        <f>IF(Ritorno!U35="","",Ritorno!U35)</f>
        <v/>
      </c>
      <c r="D315" t="str">
        <f>Ritorno!V35</f>
        <v>Parma</v>
      </c>
      <c r="E315" t="str">
        <f t="shared" si="23"/>
        <v/>
      </c>
      <c r="F315" t="str">
        <f t="shared" si="24"/>
        <v/>
      </c>
      <c r="G315">
        <f t="shared" si="25"/>
        <v>0</v>
      </c>
    </row>
    <row r="316" spans="1:7" ht="15" customHeight="1" x14ac:dyDescent="0.2">
      <c r="A316" t="str">
        <f>Ritorno!S36</f>
        <v>Milan</v>
      </c>
      <c r="B316" t="str">
        <f>IF(Ritorno!T36="","",Ritorno!T36)</f>
        <v/>
      </c>
      <c r="C316" t="str">
        <f>IF(Ritorno!U36="","",Ritorno!U36)</f>
        <v/>
      </c>
      <c r="D316" t="str">
        <f>Ritorno!V36</f>
        <v>Napoli</v>
      </c>
      <c r="E316" t="str">
        <f t="shared" si="23"/>
        <v/>
      </c>
      <c r="F316" t="str">
        <f t="shared" si="24"/>
        <v/>
      </c>
      <c r="G316">
        <f t="shared" si="25"/>
        <v>0</v>
      </c>
    </row>
    <row r="317" spans="1:7" ht="15" customHeight="1" x14ac:dyDescent="0.2">
      <c r="A317" t="str">
        <f>Ritorno!S37</f>
        <v>Monza</v>
      </c>
      <c r="B317" t="str">
        <f>IF(Ritorno!T37="","",Ritorno!T37)</f>
        <v/>
      </c>
      <c r="C317" t="str">
        <f>IF(Ritorno!U37="","",Ritorno!U37)</f>
        <v/>
      </c>
      <c r="D317" t="str">
        <f>Ritorno!V37</f>
        <v>Inter</v>
      </c>
      <c r="E317" t="str">
        <f t="shared" si="23"/>
        <v/>
      </c>
      <c r="F317" t="str">
        <f t="shared" si="24"/>
        <v/>
      </c>
      <c r="G317">
        <f t="shared" si="25"/>
        <v>0</v>
      </c>
    </row>
    <row r="318" spans="1:7" ht="15" customHeight="1" x14ac:dyDescent="0.2">
      <c r="A318" t="str">
        <f>Ritorno!S38</f>
        <v>Roma</v>
      </c>
      <c r="B318" t="str">
        <f>IF(Ritorno!T38="","",Ritorno!T38)</f>
        <v/>
      </c>
      <c r="C318" t="str">
        <f>IF(Ritorno!U38="","",Ritorno!U38)</f>
        <v/>
      </c>
      <c r="D318" t="str">
        <f>Ritorno!V38</f>
        <v>Lazio</v>
      </c>
      <c r="E318" t="str">
        <f t="shared" si="23"/>
        <v/>
      </c>
      <c r="F318" t="str">
        <f t="shared" si="24"/>
        <v/>
      </c>
      <c r="G318">
        <f t="shared" si="25"/>
        <v>0</v>
      </c>
    </row>
    <row r="319" spans="1:7" ht="15" customHeight="1" x14ac:dyDescent="0.2">
      <c r="A319" t="str">
        <f>Ritorno!S39</f>
        <v>Sassuolo</v>
      </c>
      <c r="B319" t="str">
        <f>IF(Ritorno!T39="","",Ritorno!T39)</f>
        <v/>
      </c>
      <c r="C319" t="str">
        <f>IF(Ritorno!U39="","",Ritorno!U39)</f>
        <v/>
      </c>
      <c r="D319" t="str">
        <f>Ritorno!V39</f>
        <v>Lecce</v>
      </c>
      <c r="E319" t="str">
        <f t="shared" si="23"/>
        <v/>
      </c>
      <c r="F319" t="str">
        <f t="shared" si="24"/>
        <v/>
      </c>
      <c r="G319">
        <f t="shared" si="25"/>
        <v>0</v>
      </c>
    </row>
    <row r="320" spans="1:7" ht="15" customHeight="1" x14ac:dyDescent="0.2">
      <c r="A320" t="str">
        <f>Ritorno!S40</f>
        <v>Torino</v>
      </c>
      <c r="B320" t="str">
        <f>IF(Ritorno!T40="","",Ritorno!T40)</f>
        <v/>
      </c>
      <c r="C320" t="str">
        <f>IF(Ritorno!U40="","",Ritorno!U40)</f>
        <v/>
      </c>
      <c r="D320" t="str">
        <f>Ritorno!V40</f>
        <v>Genoa</v>
      </c>
      <c r="E320" t="str">
        <f t="shared" si="23"/>
        <v/>
      </c>
      <c r="F320" t="str">
        <f t="shared" si="24"/>
        <v/>
      </c>
      <c r="G320">
        <f t="shared" si="25"/>
        <v>0</v>
      </c>
    </row>
    <row r="321" spans="1:7" ht="15" customHeight="1" x14ac:dyDescent="0.2">
      <c r="A321" t="str">
        <f>Ritorno!S41</f>
        <v>Venezia</v>
      </c>
      <c r="B321" t="str">
        <f>IF(Ritorno!T41="","",Ritorno!T41)</f>
        <v/>
      </c>
      <c r="C321" t="str">
        <f>IF(Ritorno!U41="","",Ritorno!U41)</f>
        <v/>
      </c>
      <c r="D321" t="str">
        <f>Ritorno!V41</f>
        <v>Juventus</v>
      </c>
      <c r="E321" t="str">
        <f t="shared" si="23"/>
        <v/>
      </c>
      <c r="F321" t="str">
        <f t="shared" si="24"/>
        <v/>
      </c>
      <c r="G321">
        <f t="shared" si="25"/>
        <v>0</v>
      </c>
    </row>
    <row r="322" spans="1:7" ht="15" customHeight="1" x14ac:dyDescent="0.2">
      <c r="A322" t="str">
        <f>Ritorno!Y32</f>
        <v>Cagliari</v>
      </c>
      <c r="B322" t="str">
        <f>IF(Ritorno!Z32="","",Ritorno!Z32)</f>
        <v/>
      </c>
      <c r="C322" t="str">
        <f>IF(Ritorno!AA32="","",Ritorno!AA32)</f>
        <v/>
      </c>
      <c r="D322" t="str">
        <f>Ritorno!AB32</f>
        <v>Monza</v>
      </c>
      <c r="E322" t="str">
        <f t="shared" ref="E322:E381" si="26">IF(OR(B322="",C322=""),"",IF(B322&gt;C322,3,IF(B322=C322,1,0)))</f>
        <v/>
      </c>
      <c r="F322" t="str">
        <f t="shared" ref="F322:F381" si="27">IF(OR(B322="",C322=""),"",IF(C322&gt;B322,3,IF(B322=C322,1,0)))</f>
        <v/>
      </c>
      <c r="G322">
        <f t="shared" ref="G322:G381" si="28">IF(OR(B322="",C322=""),0,1)</f>
        <v>0</v>
      </c>
    </row>
    <row r="323" spans="1:7" ht="15" customHeight="1" x14ac:dyDescent="0.2">
      <c r="A323" t="str">
        <f>Ritorno!Y33</f>
        <v>Frosinone</v>
      </c>
      <c r="B323" t="str">
        <f>IF(Ritorno!Z33="","",Ritorno!Z33)</f>
        <v/>
      </c>
      <c r="C323" t="str">
        <f>IF(Ritorno!AA33="","",Ritorno!AA33)</f>
        <v/>
      </c>
      <c r="D323" t="str">
        <f>Ritorno!AB33</f>
        <v>Roma</v>
      </c>
      <c r="E323" t="str">
        <f t="shared" si="26"/>
        <v/>
      </c>
      <c r="F323" t="str">
        <f t="shared" si="27"/>
        <v/>
      </c>
      <c r="G323">
        <f t="shared" si="28"/>
        <v>0</v>
      </c>
    </row>
    <row r="324" spans="1:7" ht="15" customHeight="1" x14ac:dyDescent="0.2">
      <c r="A324" t="str">
        <f>Ritorno!Y34</f>
        <v>Genoa</v>
      </c>
      <c r="B324" t="str">
        <f>IF(Ritorno!Z34="","",Ritorno!Z34)</f>
        <v/>
      </c>
      <c r="C324" t="str">
        <f>IF(Ritorno!AA34="","",Ritorno!AA34)</f>
        <v/>
      </c>
      <c r="D324" t="str">
        <f>Ritorno!AB34</f>
        <v>Sassuolo</v>
      </c>
      <c r="E324" t="str">
        <f t="shared" si="26"/>
        <v/>
      </c>
      <c r="F324" t="str">
        <f t="shared" si="27"/>
        <v/>
      </c>
      <c r="G324">
        <f t="shared" si="28"/>
        <v>0</v>
      </c>
    </row>
    <row r="325" spans="1:7" ht="15" customHeight="1" x14ac:dyDescent="0.2">
      <c r="A325" t="str">
        <f>Ritorno!Y35</f>
        <v>Inter</v>
      </c>
      <c r="B325" t="str">
        <f>IF(Ritorno!Z35="","",Ritorno!Z35)</f>
        <v/>
      </c>
      <c r="C325" t="str">
        <f>IF(Ritorno!AA35="","",Ritorno!AA35)</f>
        <v/>
      </c>
      <c r="D325" t="str">
        <f>Ritorno!AB35</f>
        <v>Bologna</v>
      </c>
      <c r="E325" t="str">
        <f t="shared" si="26"/>
        <v/>
      </c>
      <c r="F325" t="str">
        <f t="shared" si="27"/>
        <v/>
      </c>
      <c r="G325">
        <f t="shared" si="28"/>
        <v>0</v>
      </c>
    </row>
    <row r="326" spans="1:7" ht="15" customHeight="1" x14ac:dyDescent="0.2">
      <c r="A326" t="str">
        <f>Ritorno!Y36</f>
        <v>Juventus</v>
      </c>
      <c r="B326" t="str">
        <f>IF(Ritorno!Z36="","",Ritorno!Z36)</f>
        <v/>
      </c>
      <c r="C326" t="str">
        <f>IF(Ritorno!AA36="","",Ritorno!AA36)</f>
        <v/>
      </c>
      <c r="D326" t="str">
        <f>Ritorno!AB36</f>
        <v>Fiorentina</v>
      </c>
      <c r="E326" t="str">
        <f t="shared" si="26"/>
        <v/>
      </c>
      <c r="F326" t="str">
        <f t="shared" si="27"/>
        <v/>
      </c>
      <c r="G326">
        <f t="shared" si="28"/>
        <v>0</v>
      </c>
    </row>
    <row r="327" spans="1:7" ht="15" customHeight="1" x14ac:dyDescent="0.2">
      <c r="A327" t="str">
        <f>Ritorno!Y37</f>
        <v>Lazio</v>
      </c>
      <c r="B327" t="str">
        <f>IF(Ritorno!Z37="","",Ritorno!Z37)</f>
        <v/>
      </c>
      <c r="C327" t="str">
        <f>IF(Ritorno!AA37="","",Ritorno!AA37)</f>
        <v/>
      </c>
      <c r="D327" t="str">
        <f>Ritorno!AB37</f>
        <v>Como</v>
      </c>
      <c r="E327" t="str">
        <f t="shared" si="26"/>
        <v/>
      </c>
      <c r="F327" t="str">
        <f t="shared" si="27"/>
        <v/>
      </c>
      <c r="G327">
        <f t="shared" si="28"/>
        <v>0</v>
      </c>
    </row>
    <row r="328" spans="1:7" ht="15" customHeight="1" x14ac:dyDescent="0.2">
      <c r="A328" t="str">
        <f>Ritorno!Y38</f>
        <v>Lecce</v>
      </c>
      <c r="B328" t="str">
        <f>IF(Ritorno!Z38="","",Ritorno!Z38)</f>
        <v/>
      </c>
      <c r="C328" t="str">
        <f>IF(Ritorno!AA38="","",Ritorno!AA38)</f>
        <v/>
      </c>
      <c r="D328" t="str">
        <f>Ritorno!AB38</f>
        <v>Milan</v>
      </c>
      <c r="E328" t="str">
        <f t="shared" si="26"/>
        <v/>
      </c>
      <c r="F328" t="str">
        <f t="shared" si="27"/>
        <v/>
      </c>
      <c r="G328">
        <f t="shared" si="28"/>
        <v>0</v>
      </c>
    </row>
    <row r="329" spans="1:7" ht="15" customHeight="1" x14ac:dyDescent="0.2">
      <c r="A329" t="str">
        <f>Ritorno!Y39</f>
        <v>Napoli</v>
      </c>
      <c r="B329" t="str">
        <f>IF(Ritorno!Z39="","",Ritorno!Z39)</f>
        <v/>
      </c>
      <c r="C329" t="str">
        <f>IF(Ritorno!AA39="","",Ritorno!AA39)</f>
        <v/>
      </c>
      <c r="D329" t="str">
        <f>Ritorno!AB39</f>
        <v>Udinese</v>
      </c>
      <c r="E329" t="str">
        <f t="shared" si="26"/>
        <v/>
      </c>
      <c r="F329" t="str">
        <f t="shared" si="27"/>
        <v/>
      </c>
      <c r="G329">
        <f t="shared" si="28"/>
        <v>0</v>
      </c>
    </row>
    <row r="330" spans="1:7" ht="15" customHeight="1" x14ac:dyDescent="0.2">
      <c r="A330" t="str">
        <f>Ritorno!Y40</f>
        <v>Parma</v>
      </c>
      <c r="B330" t="str">
        <f>IF(Ritorno!Z40="","",Ritorno!Z40)</f>
        <v/>
      </c>
      <c r="C330" t="str">
        <f>IF(Ritorno!AA40="","",Ritorno!AA40)</f>
        <v/>
      </c>
      <c r="D330" t="str">
        <f>Ritorno!AB40</f>
        <v>Atalanta</v>
      </c>
      <c r="E330" t="str">
        <f t="shared" si="26"/>
        <v/>
      </c>
      <c r="F330" t="str">
        <f t="shared" si="27"/>
        <v/>
      </c>
      <c r="G330">
        <f t="shared" si="28"/>
        <v>0</v>
      </c>
    </row>
    <row r="331" spans="1:7" ht="15" customHeight="1" x14ac:dyDescent="0.2">
      <c r="A331" t="str">
        <f>Ritorno!Y41</f>
        <v>Venezia</v>
      </c>
      <c r="B331" t="str">
        <f>IF(Ritorno!Z41="","",Ritorno!Z41)</f>
        <v/>
      </c>
      <c r="C331" t="str">
        <f>IF(Ritorno!AA41="","",Ritorno!AA41)</f>
        <v/>
      </c>
      <c r="D331" t="str">
        <f>Ritorno!AB41</f>
        <v>Torino</v>
      </c>
      <c r="E331" t="str">
        <f t="shared" si="26"/>
        <v/>
      </c>
      <c r="F331" t="str">
        <f t="shared" si="27"/>
        <v/>
      </c>
      <c r="G331">
        <f t="shared" si="28"/>
        <v>0</v>
      </c>
    </row>
    <row r="332" spans="1:7" ht="15" customHeight="1" x14ac:dyDescent="0.2">
      <c r="A332" t="str">
        <f>Ritorno!A46</f>
        <v>Atalanta</v>
      </c>
      <c r="B332" t="str">
        <f>IF(Ritorno!B46="","",Ritorno!B46)</f>
        <v/>
      </c>
      <c r="C332" t="str">
        <f>IF(Ritorno!C46="","",Ritorno!C46)</f>
        <v/>
      </c>
      <c r="D332" t="str">
        <f>Ritorno!D46</f>
        <v>Juventus</v>
      </c>
      <c r="E332" t="str">
        <f t="shared" si="26"/>
        <v/>
      </c>
      <c r="F332" t="str">
        <f t="shared" si="27"/>
        <v/>
      </c>
      <c r="G332">
        <f t="shared" si="28"/>
        <v>0</v>
      </c>
    </row>
    <row r="333" spans="1:7" ht="15" customHeight="1" x14ac:dyDescent="0.2">
      <c r="A333" t="str">
        <f>Ritorno!A47</f>
        <v>Bologna</v>
      </c>
      <c r="B333" t="str">
        <f>IF(Ritorno!B47="","",Ritorno!B47)</f>
        <v/>
      </c>
      <c r="C333" t="str">
        <f>IF(Ritorno!C47="","",Ritorno!C47)</f>
        <v/>
      </c>
      <c r="D333" t="str">
        <f>Ritorno!D47</f>
        <v>Fiorentina</v>
      </c>
      <c r="E333" t="str">
        <f t="shared" si="26"/>
        <v/>
      </c>
      <c r="F333" t="str">
        <f t="shared" si="27"/>
        <v/>
      </c>
      <c r="G333">
        <f t="shared" si="28"/>
        <v>0</v>
      </c>
    </row>
    <row r="334" spans="1:7" ht="15" customHeight="1" x14ac:dyDescent="0.2">
      <c r="A334" t="str">
        <f>Ritorno!A48</f>
        <v>Como</v>
      </c>
      <c r="B334" t="str">
        <f>IF(Ritorno!B48="","",Ritorno!B48)</f>
        <v/>
      </c>
      <c r="C334" t="str">
        <f>IF(Ritorno!C48="","",Ritorno!C48)</f>
        <v/>
      </c>
      <c r="D334" t="str">
        <f>Ritorno!D48</f>
        <v>Inter</v>
      </c>
      <c r="E334" t="str">
        <f t="shared" si="26"/>
        <v/>
      </c>
      <c r="F334" t="str">
        <f t="shared" si="27"/>
        <v/>
      </c>
      <c r="G334">
        <f t="shared" si="28"/>
        <v>0</v>
      </c>
    </row>
    <row r="335" spans="1:7" ht="15" customHeight="1" x14ac:dyDescent="0.2">
      <c r="A335" t="str">
        <f>Ritorno!A49</f>
        <v>Lecce</v>
      </c>
      <c r="B335" t="str">
        <f>IF(Ritorno!B49="","",Ritorno!B49)</f>
        <v/>
      </c>
      <c r="C335" t="str">
        <f>IF(Ritorno!C49="","",Ritorno!C49)</f>
        <v/>
      </c>
      <c r="D335" t="str">
        <f>Ritorno!D49</f>
        <v>Cagliari</v>
      </c>
      <c r="E335" t="str">
        <f t="shared" si="26"/>
        <v/>
      </c>
      <c r="F335" t="str">
        <f t="shared" si="27"/>
        <v/>
      </c>
      <c r="G335">
        <f t="shared" si="28"/>
        <v>0</v>
      </c>
    </row>
    <row r="336" spans="1:7" ht="15" customHeight="1" x14ac:dyDescent="0.2">
      <c r="A336" t="str">
        <f>Ritorno!A50</f>
        <v>Milan</v>
      </c>
      <c r="B336" t="str">
        <f>IF(Ritorno!B50="","",Ritorno!B50)</f>
        <v/>
      </c>
      <c r="C336" t="str">
        <f>IF(Ritorno!C50="","",Ritorno!C50)</f>
        <v/>
      </c>
      <c r="D336" t="str">
        <f>Ritorno!D50</f>
        <v>Lazio</v>
      </c>
      <c r="E336" t="str">
        <f t="shared" si="26"/>
        <v/>
      </c>
      <c r="F336" t="str">
        <f t="shared" si="27"/>
        <v/>
      </c>
      <c r="G336">
        <f t="shared" si="28"/>
        <v>0</v>
      </c>
    </row>
    <row r="337" spans="1:7" ht="15" customHeight="1" x14ac:dyDescent="0.2">
      <c r="A337" t="str">
        <f>Ritorno!A51</f>
        <v>Monza</v>
      </c>
      <c r="B337" t="str">
        <f>IF(Ritorno!B51="","",Ritorno!B51)</f>
        <v/>
      </c>
      <c r="C337" t="str">
        <f>IF(Ritorno!C51="","",Ritorno!C51)</f>
        <v/>
      </c>
      <c r="D337" t="str">
        <f>Ritorno!D51</f>
        <v>Venezia</v>
      </c>
      <c r="E337" t="str">
        <f t="shared" si="26"/>
        <v/>
      </c>
      <c r="F337" t="str">
        <f t="shared" si="27"/>
        <v/>
      </c>
      <c r="G337">
        <f t="shared" si="28"/>
        <v>0</v>
      </c>
    </row>
    <row r="338" spans="1:7" ht="15" customHeight="1" x14ac:dyDescent="0.2">
      <c r="A338" t="str">
        <f>Ritorno!A52</f>
        <v>Roma</v>
      </c>
      <c r="B338" t="str">
        <f>IF(Ritorno!B52="","",Ritorno!B52)</f>
        <v/>
      </c>
      <c r="C338" t="str">
        <f>IF(Ritorno!C52="","",Ritorno!C52)</f>
        <v/>
      </c>
      <c r="D338" t="str">
        <f>Ritorno!D52</f>
        <v>Napoli</v>
      </c>
      <c r="E338" t="str">
        <f t="shared" si="26"/>
        <v/>
      </c>
      <c r="F338" t="str">
        <f t="shared" si="27"/>
        <v/>
      </c>
      <c r="G338">
        <f t="shared" si="28"/>
        <v>0</v>
      </c>
    </row>
    <row r="339" spans="1:7" ht="15" customHeight="1" x14ac:dyDescent="0.2">
      <c r="A339" t="str">
        <f>Ritorno!A53</f>
        <v>Sassuolo</v>
      </c>
      <c r="B339" t="str">
        <f>IF(Ritorno!B53="","",Ritorno!B53)</f>
        <v/>
      </c>
      <c r="C339" t="str">
        <f>IF(Ritorno!C53="","",Ritorno!C53)</f>
        <v/>
      </c>
      <c r="D339" t="str">
        <f>Ritorno!D53</f>
        <v>Frosinone</v>
      </c>
      <c r="E339" t="str">
        <f t="shared" si="26"/>
        <v/>
      </c>
      <c r="F339" t="str">
        <f t="shared" si="27"/>
        <v/>
      </c>
      <c r="G339">
        <f t="shared" si="28"/>
        <v>0</v>
      </c>
    </row>
    <row r="340" spans="1:7" ht="15" customHeight="1" x14ac:dyDescent="0.2">
      <c r="A340" t="str">
        <f>Ritorno!A54</f>
        <v>Torino</v>
      </c>
      <c r="B340" t="str">
        <f>IF(Ritorno!B54="","",Ritorno!B54)</f>
        <v/>
      </c>
      <c r="C340" t="str">
        <f>IF(Ritorno!C54="","",Ritorno!C54)</f>
        <v/>
      </c>
      <c r="D340" t="str">
        <f>Ritorno!D54</f>
        <v>Parma</v>
      </c>
      <c r="E340" t="str">
        <f t="shared" si="26"/>
        <v/>
      </c>
      <c r="F340" t="str">
        <f t="shared" si="27"/>
        <v/>
      </c>
      <c r="G340">
        <f t="shared" si="28"/>
        <v>0</v>
      </c>
    </row>
    <row r="341" spans="1:7" ht="15" customHeight="1" x14ac:dyDescent="0.2">
      <c r="A341" t="str">
        <f>Ritorno!A55</f>
        <v>Udinese</v>
      </c>
      <c r="B341" t="str">
        <f>IF(Ritorno!B55="","",Ritorno!B55)</f>
        <v/>
      </c>
      <c r="C341" t="str">
        <f>IF(Ritorno!C55="","",Ritorno!C55)</f>
        <v/>
      </c>
      <c r="D341" t="str">
        <f>Ritorno!D55</f>
        <v>Genoa</v>
      </c>
      <c r="E341" t="str">
        <f t="shared" si="26"/>
        <v/>
      </c>
      <c r="F341" t="str">
        <f t="shared" si="27"/>
        <v/>
      </c>
      <c r="G341">
        <f t="shared" si="28"/>
        <v>0</v>
      </c>
    </row>
    <row r="342" spans="1:7" ht="15" customHeight="1" x14ac:dyDescent="0.2">
      <c r="A342" t="str">
        <f>Ritorno!G46</f>
        <v>Fiorentina</v>
      </c>
      <c r="B342" t="str">
        <f>IF(Ritorno!H46="","",Ritorno!H46)</f>
        <v/>
      </c>
      <c r="C342" t="str">
        <f>IF(Ritorno!I46="","",Ritorno!I46)</f>
        <v/>
      </c>
      <c r="D342" t="str">
        <f>Ritorno!J46</f>
        <v>Roma</v>
      </c>
      <c r="E342" t="str">
        <f t="shared" si="26"/>
        <v/>
      </c>
      <c r="F342" t="str">
        <f t="shared" si="27"/>
        <v/>
      </c>
      <c r="G342">
        <f t="shared" si="28"/>
        <v>0</v>
      </c>
    </row>
    <row r="343" spans="1:7" ht="15" customHeight="1" x14ac:dyDescent="0.2">
      <c r="A343" t="str">
        <f>Ritorno!G47</f>
        <v>Frosinone</v>
      </c>
      <c r="B343" t="str">
        <f>IF(Ritorno!H47="","",Ritorno!H47)</f>
        <v/>
      </c>
      <c r="C343" t="str">
        <f>IF(Ritorno!I47="","",Ritorno!I47)</f>
        <v/>
      </c>
      <c r="D343" t="str">
        <f>Ritorno!J47</f>
        <v>Atalanta</v>
      </c>
      <c r="E343" t="str">
        <f t="shared" si="26"/>
        <v/>
      </c>
      <c r="F343" t="str">
        <f t="shared" si="27"/>
        <v/>
      </c>
      <c r="G343">
        <f t="shared" si="28"/>
        <v>0</v>
      </c>
    </row>
    <row r="344" spans="1:7" ht="15" customHeight="1" x14ac:dyDescent="0.2">
      <c r="A344" t="str">
        <f>Ritorno!G48</f>
        <v>Genoa</v>
      </c>
      <c r="B344" t="str">
        <f>IF(Ritorno!H48="","",Ritorno!H48)</f>
        <v/>
      </c>
      <c r="C344" t="str">
        <f>IF(Ritorno!I48="","",Ritorno!I48)</f>
        <v/>
      </c>
      <c r="D344" t="str">
        <f>Ritorno!J48</f>
        <v>Cagliari</v>
      </c>
      <c r="E344" t="str">
        <f t="shared" si="26"/>
        <v/>
      </c>
      <c r="F344" t="str">
        <f t="shared" si="27"/>
        <v/>
      </c>
      <c r="G344">
        <f t="shared" si="28"/>
        <v>0</v>
      </c>
    </row>
    <row r="345" spans="1:7" ht="15" customHeight="1" x14ac:dyDescent="0.2">
      <c r="A345" t="str">
        <f>Ritorno!G49</f>
        <v>Inter</v>
      </c>
      <c r="B345" t="str">
        <f>IF(Ritorno!H49="","",Ritorno!H49)</f>
        <v/>
      </c>
      <c r="C345" t="str">
        <f>IF(Ritorno!I49="","",Ritorno!I49)</f>
        <v/>
      </c>
      <c r="D345" t="str">
        <f>Ritorno!J49</f>
        <v>Lecce</v>
      </c>
      <c r="E345" t="str">
        <f t="shared" si="26"/>
        <v/>
      </c>
      <c r="F345" t="str">
        <f t="shared" si="27"/>
        <v/>
      </c>
      <c r="G345">
        <f t="shared" si="28"/>
        <v>0</v>
      </c>
    </row>
    <row r="346" spans="1:7" ht="15" customHeight="1" x14ac:dyDescent="0.2">
      <c r="A346" t="str">
        <f>Ritorno!G50</f>
        <v>Lazio</v>
      </c>
      <c r="B346" t="str">
        <f>IF(Ritorno!H50="","",Ritorno!H50)</f>
        <v/>
      </c>
      <c r="C346" t="str">
        <f>IF(Ritorno!I50="","",Ritorno!I50)</f>
        <v/>
      </c>
      <c r="D346" t="str">
        <f>Ritorno!J50</f>
        <v>Sassuolo</v>
      </c>
      <c r="E346" t="str">
        <f t="shared" si="26"/>
        <v/>
      </c>
      <c r="F346" t="str">
        <f t="shared" si="27"/>
        <v/>
      </c>
      <c r="G346">
        <f t="shared" si="28"/>
        <v>0</v>
      </c>
    </row>
    <row r="347" spans="1:7" ht="15" customHeight="1" x14ac:dyDescent="0.2">
      <c r="A347" t="str">
        <f>Ritorno!G51</f>
        <v>Napoli</v>
      </c>
      <c r="B347" t="str">
        <f>IF(Ritorno!H51="","",Ritorno!H51)</f>
        <v/>
      </c>
      <c r="C347" t="str">
        <f>IF(Ritorno!I51="","",Ritorno!I51)</f>
        <v/>
      </c>
      <c r="D347" t="str">
        <f>Ritorno!J51</f>
        <v>Monza</v>
      </c>
      <c r="E347" t="str">
        <f t="shared" si="26"/>
        <v/>
      </c>
      <c r="F347" t="str">
        <f t="shared" si="27"/>
        <v/>
      </c>
      <c r="G347">
        <f t="shared" si="28"/>
        <v>0</v>
      </c>
    </row>
    <row r="348" spans="1:7" ht="15" customHeight="1" x14ac:dyDescent="0.2">
      <c r="A348" t="str">
        <f>Ritorno!G52</f>
        <v>Parma</v>
      </c>
      <c r="B348" t="str">
        <f>IF(Ritorno!H52="","",Ritorno!H52)</f>
        <v/>
      </c>
      <c r="C348" t="str">
        <f>IF(Ritorno!I52="","",Ritorno!I52)</f>
        <v/>
      </c>
      <c r="D348" t="str">
        <f>Ritorno!J52</f>
        <v>Milan</v>
      </c>
      <c r="E348" t="str">
        <f t="shared" si="26"/>
        <v/>
      </c>
      <c r="F348" t="str">
        <f t="shared" si="27"/>
        <v/>
      </c>
      <c r="G348">
        <f t="shared" si="28"/>
        <v>0</v>
      </c>
    </row>
    <row r="349" spans="1:7" ht="15" customHeight="1" x14ac:dyDescent="0.2">
      <c r="A349" t="str">
        <f>Ritorno!G53</f>
        <v>Torino</v>
      </c>
      <c r="B349" t="str">
        <f>IF(Ritorno!H53="","",Ritorno!H53)</f>
        <v/>
      </c>
      <c r="C349" t="str">
        <f>IF(Ritorno!I53="","",Ritorno!I53)</f>
        <v/>
      </c>
      <c r="D349" t="str">
        <f>Ritorno!J53</f>
        <v>Bologna</v>
      </c>
      <c r="E349" t="str">
        <f t="shared" si="26"/>
        <v/>
      </c>
      <c r="F349" t="str">
        <f t="shared" si="27"/>
        <v/>
      </c>
      <c r="G349">
        <f t="shared" si="28"/>
        <v>0</v>
      </c>
    </row>
    <row r="350" spans="1:7" ht="15" customHeight="1" x14ac:dyDescent="0.2">
      <c r="A350" t="str">
        <f>Ritorno!G54</f>
        <v>Udinese</v>
      </c>
      <c r="B350" t="str">
        <f>IF(Ritorno!H54="","",Ritorno!H54)</f>
        <v/>
      </c>
      <c r="C350" t="str">
        <f>IF(Ritorno!I54="","",Ritorno!I54)</f>
        <v/>
      </c>
      <c r="D350" t="str">
        <f>Ritorno!J54</f>
        <v>Juventus</v>
      </c>
      <c r="E350" t="str">
        <f t="shared" si="26"/>
        <v/>
      </c>
      <c r="F350" t="str">
        <f t="shared" si="27"/>
        <v/>
      </c>
      <c r="G350">
        <f t="shared" si="28"/>
        <v>0</v>
      </c>
    </row>
    <row r="351" spans="1:7" ht="15" customHeight="1" x14ac:dyDescent="0.2">
      <c r="A351" t="str">
        <f>Ritorno!G55</f>
        <v>Venezia</v>
      </c>
      <c r="B351" t="str">
        <f>IF(Ritorno!H55="","",Ritorno!H55)</f>
        <v/>
      </c>
      <c r="C351" t="str">
        <f>IF(Ritorno!I55="","",Ritorno!I55)</f>
        <v/>
      </c>
      <c r="D351" t="str">
        <f>Ritorno!J55</f>
        <v>Como</v>
      </c>
      <c r="E351" t="str">
        <f t="shared" si="26"/>
        <v/>
      </c>
      <c r="F351" t="str">
        <f t="shared" si="27"/>
        <v/>
      </c>
      <c r="G351">
        <f t="shared" si="28"/>
        <v>0</v>
      </c>
    </row>
    <row r="352" spans="1:7" ht="15" customHeight="1" x14ac:dyDescent="0.2">
      <c r="A352" t="str">
        <f>Ritorno!M46</f>
        <v>Bologna</v>
      </c>
      <c r="B352" t="str">
        <f>IF(Ritorno!N46="","",Ritorno!N46)</f>
        <v/>
      </c>
      <c r="C352" t="str">
        <f>IF(Ritorno!O46="","",Ritorno!O46)</f>
        <v/>
      </c>
      <c r="D352" t="str">
        <f>Ritorno!P46</f>
        <v>Frosinone</v>
      </c>
      <c r="E352" t="str">
        <f t="shared" si="26"/>
        <v/>
      </c>
      <c r="F352" t="str">
        <f t="shared" si="27"/>
        <v/>
      </c>
      <c r="G352">
        <f t="shared" si="28"/>
        <v>0</v>
      </c>
    </row>
    <row r="353" spans="1:7" ht="15" customHeight="1" x14ac:dyDescent="0.2">
      <c r="A353" t="str">
        <f>Ritorno!M47</f>
        <v>Cagliari</v>
      </c>
      <c r="B353" t="str">
        <f>IF(Ritorno!N47="","",Ritorno!N47)</f>
        <v/>
      </c>
      <c r="C353" t="str">
        <f>IF(Ritorno!O47="","",Ritorno!O47)</f>
        <v/>
      </c>
      <c r="D353" t="str">
        <f>Ritorno!P47</f>
        <v>Torino</v>
      </c>
      <c r="E353" t="str">
        <f t="shared" si="26"/>
        <v/>
      </c>
      <c r="F353" t="str">
        <f t="shared" si="27"/>
        <v/>
      </c>
      <c r="G353">
        <f t="shared" si="28"/>
        <v>0</v>
      </c>
    </row>
    <row r="354" spans="1:7" ht="15" customHeight="1" x14ac:dyDescent="0.2">
      <c r="A354" t="str">
        <f>Ritorno!M48</f>
        <v>Como</v>
      </c>
      <c r="B354" t="str">
        <f>IF(Ritorno!N48="","",Ritorno!N48)</f>
        <v/>
      </c>
      <c r="C354" t="str">
        <f>IF(Ritorno!O48="","",Ritorno!O48)</f>
        <v/>
      </c>
      <c r="D354" t="str">
        <f>Ritorno!P48</f>
        <v>Atalanta</v>
      </c>
      <c r="E354" t="str">
        <f t="shared" si="26"/>
        <v/>
      </c>
      <c r="F354" t="str">
        <f t="shared" si="27"/>
        <v/>
      </c>
      <c r="G354">
        <f t="shared" si="28"/>
        <v>0</v>
      </c>
    </row>
    <row r="355" spans="1:7" ht="15" customHeight="1" x14ac:dyDescent="0.2">
      <c r="A355" t="str">
        <f>Ritorno!M49</f>
        <v>Juventus</v>
      </c>
      <c r="B355" t="str">
        <f>IF(Ritorno!N49="","",Ritorno!N49)</f>
        <v/>
      </c>
      <c r="C355" t="str">
        <f>IF(Ritorno!O49="","",Ritorno!O49)</f>
        <v/>
      </c>
      <c r="D355" t="str">
        <f>Ritorno!P49</f>
        <v>Inter</v>
      </c>
      <c r="E355" t="str">
        <f t="shared" si="26"/>
        <v/>
      </c>
      <c r="F355" t="str">
        <f t="shared" si="27"/>
        <v/>
      </c>
      <c r="G355">
        <f t="shared" si="28"/>
        <v>0</v>
      </c>
    </row>
    <row r="356" spans="1:7" ht="15" customHeight="1" x14ac:dyDescent="0.2">
      <c r="A356" t="str">
        <f>Ritorno!M50</f>
        <v>Lazio</v>
      </c>
      <c r="B356" t="str">
        <f>IF(Ritorno!N50="","",Ritorno!N50)</f>
        <v/>
      </c>
      <c r="C356" t="str">
        <f>IF(Ritorno!O50="","",Ritorno!O50)</f>
        <v/>
      </c>
      <c r="D356" t="str">
        <f>Ritorno!P50</f>
        <v>Udinese</v>
      </c>
      <c r="E356" t="str">
        <f t="shared" si="26"/>
        <v/>
      </c>
      <c r="F356" t="str">
        <f t="shared" si="27"/>
        <v/>
      </c>
      <c r="G356">
        <f t="shared" si="28"/>
        <v>0</v>
      </c>
    </row>
    <row r="357" spans="1:7" ht="15" customHeight="1" x14ac:dyDescent="0.2">
      <c r="A357" t="str">
        <f>Ritorno!M51</f>
        <v>Lecce</v>
      </c>
      <c r="B357" t="str">
        <f>IF(Ritorno!N51="","",Ritorno!N51)</f>
        <v/>
      </c>
      <c r="C357" t="str">
        <f>IF(Ritorno!O51="","",Ritorno!O51)</f>
        <v/>
      </c>
      <c r="D357" t="str">
        <f>Ritorno!P51</f>
        <v>Fiorentina</v>
      </c>
      <c r="E357" t="str">
        <f t="shared" si="26"/>
        <v/>
      </c>
      <c r="F357" t="str">
        <f t="shared" si="27"/>
        <v/>
      </c>
      <c r="G357">
        <f t="shared" si="28"/>
        <v>0</v>
      </c>
    </row>
    <row r="358" spans="1:7" ht="15" customHeight="1" x14ac:dyDescent="0.2">
      <c r="A358" t="str">
        <f>Ritorno!M52</f>
        <v>Milan</v>
      </c>
      <c r="B358" t="str">
        <f>IF(Ritorno!N52="","",Ritorno!N52)</f>
        <v/>
      </c>
      <c r="C358" t="str">
        <f>IF(Ritorno!O52="","",Ritorno!O52)</f>
        <v/>
      </c>
      <c r="D358" t="str">
        <f>Ritorno!P52</f>
        <v>Roma</v>
      </c>
      <c r="E358" t="str">
        <f t="shared" si="26"/>
        <v/>
      </c>
      <c r="F358" t="str">
        <f t="shared" si="27"/>
        <v/>
      </c>
      <c r="G358">
        <f t="shared" si="28"/>
        <v>0</v>
      </c>
    </row>
    <row r="359" spans="1:7" ht="15" customHeight="1" x14ac:dyDescent="0.2">
      <c r="A359" t="str">
        <f>Ritorno!M53</f>
        <v>Monza</v>
      </c>
      <c r="B359" t="str">
        <f>IF(Ritorno!N53="","",Ritorno!N53)</f>
        <v/>
      </c>
      <c r="C359" t="str">
        <f>IF(Ritorno!O53="","",Ritorno!O53)</f>
        <v/>
      </c>
      <c r="D359" t="str">
        <f>Ritorno!P53</f>
        <v>Parma</v>
      </c>
      <c r="E359" t="str">
        <f t="shared" si="26"/>
        <v/>
      </c>
      <c r="F359" t="str">
        <f t="shared" si="27"/>
        <v/>
      </c>
      <c r="G359">
        <f t="shared" si="28"/>
        <v>0</v>
      </c>
    </row>
    <row r="360" spans="1:7" ht="15" customHeight="1" x14ac:dyDescent="0.2">
      <c r="A360" t="str">
        <f>Ritorno!M54</f>
        <v>Napoli</v>
      </c>
      <c r="B360" t="str">
        <f>IF(Ritorno!N54="","",Ritorno!N54)</f>
        <v/>
      </c>
      <c r="C360" t="str">
        <f>IF(Ritorno!O54="","",Ritorno!O54)</f>
        <v/>
      </c>
      <c r="D360" t="str">
        <f>Ritorno!P54</f>
        <v>Genoa</v>
      </c>
      <c r="E360" t="str">
        <f t="shared" si="26"/>
        <v/>
      </c>
      <c r="F360" t="str">
        <f t="shared" si="27"/>
        <v/>
      </c>
      <c r="G360">
        <f t="shared" si="28"/>
        <v>0</v>
      </c>
    </row>
    <row r="361" spans="1:7" ht="15" customHeight="1" x14ac:dyDescent="0.2">
      <c r="A361" t="str">
        <f>Ritorno!M55</f>
        <v>Sassuolo</v>
      </c>
      <c r="B361" t="str">
        <f>IF(Ritorno!N55="","",Ritorno!N55)</f>
        <v/>
      </c>
      <c r="C361" t="str">
        <f>IF(Ritorno!O55="","",Ritorno!O55)</f>
        <v/>
      </c>
      <c r="D361" t="str">
        <f>Ritorno!P55</f>
        <v>Venezia</v>
      </c>
      <c r="E361" t="str">
        <f t="shared" si="26"/>
        <v/>
      </c>
      <c r="F361" t="str">
        <f t="shared" si="27"/>
        <v/>
      </c>
      <c r="G361">
        <f t="shared" si="28"/>
        <v>0</v>
      </c>
    </row>
    <row r="362" spans="1:7" ht="15" customHeight="1" x14ac:dyDescent="0.2">
      <c r="A362" t="str">
        <f>Ritorno!S46</f>
        <v>Atalanta</v>
      </c>
      <c r="B362" t="str">
        <f>IF(Ritorno!T46="","",Ritorno!T46)</f>
        <v/>
      </c>
      <c r="C362" t="str">
        <f>IF(Ritorno!U46="","",Ritorno!U46)</f>
        <v/>
      </c>
      <c r="D362" t="str">
        <f>Ritorno!V46</f>
        <v>Lecce</v>
      </c>
      <c r="E362" t="str">
        <f t="shared" si="26"/>
        <v/>
      </c>
      <c r="F362" t="str">
        <f t="shared" si="27"/>
        <v/>
      </c>
      <c r="G362">
        <f t="shared" si="28"/>
        <v>0</v>
      </c>
    </row>
    <row r="363" spans="1:7" ht="15" customHeight="1" x14ac:dyDescent="0.2">
      <c r="A363" t="str">
        <f>Ritorno!S47</f>
        <v>Fiorentina</v>
      </c>
      <c r="B363" t="str">
        <f>IF(Ritorno!T47="","",Ritorno!T47)</f>
        <v/>
      </c>
      <c r="C363" t="str">
        <f>IF(Ritorno!U47="","",Ritorno!U47)</f>
        <v/>
      </c>
      <c r="D363" t="str">
        <f>Ritorno!V47</f>
        <v>Monza</v>
      </c>
      <c r="E363" t="str">
        <f t="shared" si="26"/>
        <v/>
      </c>
      <c r="F363" t="str">
        <f t="shared" si="27"/>
        <v/>
      </c>
      <c r="G363">
        <f t="shared" si="28"/>
        <v>0</v>
      </c>
    </row>
    <row r="364" spans="1:7" ht="15" customHeight="1" x14ac:dyDescent="0.2">
      <c r="A364" t="str">
        <f>Ritorno!S48</f>
        <v>Frosinone</v>
      </c>
      <c r="B364" t="str">
        <f>IF(Ritorno!T48="","",Ritorno!T48)</f>
        <v/>
      </c>
      <c r="C364" t="str">
        <f>IF(Ritorno!U48="","",Ritorno!U48)</f>
        <v/>
      </c>
      <c r="D364" t="str">
        <f>Ritorno!V48</f>
        <v>Cagliari</v>
      </c>
      <c r="E364" t="str">
        <f t="shared" si="26"/>
        <v/>
      </c>
      <c r="F364" t="str">
        <f t="shared" si="27"/>
        <v/>
      </c>
      <c r="G364">
        <f t="shared" si="28"/>
        <v>0</v>
      </c>
    </row>
    <row r="365" spans="1:7" ht="15" customHeight="1" x14ac:dyDescent="0.2">
      <c r="A365" t="str">
        <f>Ritorno!S49</f>
        <v>Genoa</v>
      </c>
      <c r="B365" t="str">
        <f>IF(Ritorno!T49="","",Ritorno!T49)</f>
        <v/>
      </c>
      <c r="C365" t="str">
        <f>IF(Ritorno!U49="","",Ritorno!U49)</f>
        <v/>
      </c>
      <c r="D365" t="str">
        <f>Ritorno!V49</f>
        <v>Bologna</v>
      </c>
      <c r="E365" t="str">
        <f t="shared" si="26"/>
        <v/>
      </c>
      <c r="F365" t="str">
        <f t="shared" si="27"/>
        <v/>
      </c>
      <c r="G365">
        <f t="shared" si="28"/>
        <v>0</v>
      </c>
    </row>
    <row r="366" spans="1:7" ht="15" customHeight="1" x14ac:dyDescent="0.2">
      <c r="A366" t="str">
        <f>Ritorno!S50</f>
        <v>Inter</v>
      </c>
      <c r="B366" t="str">
        <f>IF(Ritorno!T50="","",Ritorno!T50)</f>
        <v/>
      </c>
      <c r="C366" t="str">
        <f>IF(Ritorno!U50="","",Ritorno!U50)</f>
        <v/>
      </c>
      <c r="D366" t="str">
        <f>Ritorno!V50</f>
        <v>Lazio</v>
      </c>
      <c r="E366" t="str">
        <f t="shared" si="26"/>
        <v/>
      </c>
      <c r="F366" t="str">
        <f t="shared" si="27"/>
        <v/>
      </c>
      <c r="G366">
        <f t="shared" si="28"/>
        <v>0</v>
      </c>
    </row>
    <row r="367" spans="1:7" ht="15" customHeight="1" x14ac:dyDescent="0.2">
      <c r="A367" t="str">
        <f>Ritorno!S51</f>
        <v>Parma</v>
      </c>
      <c r="B367" t="str">
        <f>IF(Ritorno!T51="","",Ritorno!T51)</f>
        <v/>
      </c>
      <c r="C367" t="str">
        <f>IF(Ritorno!U51="","",Ritorno!U51)</f>
        <v/>
      </c>
      <c r="D367" t="str">
        <f>Ritorno!V51</f>
        <v>Juventus</v>
      </c>
      <c r="E367" t="str">
        <f t="shared" si="26"/>
        <v/>
      </c>
      <c r="F367" t="str">
        <f t="shared" si="27"/>
        <v/>
      </c>
      <c r="G367">
        <f t="shared" si="28"/>
        <v>0</v>
      </c>
    </row>
    <row r="368" spans="1:7" ht="15" customHeight="1" x14ac:dyDescent="0.2">
      <c r="A368" t="str">
        <f>Ritorno!S52</f>
        <v>Roma</v>
      </c>
      <c r="B368" t="str">
        <f>IF(Ritorno!T52="","",Ritorno!T52)</f>
        <v/>
      </c>
      <c r="C368" t="str">
        <f>IF(Ritorno!U52="","",Ritorno!U52)</f>
        <v/>
      </c>
      <c r="D368" t="str">
        <f>Ritorno!V52</f>
        <v>Como</v>
      </c>
      <c r="E368" t="str">
        <f t="shared" si="26"/>
        <v/>
      </c>
      <c r="F368" t="str">
        <f t="shared" si="27"/>
        <v/>
      </c>
      <c r="G368">
        <f t="shared" si="28"/>
        <v>0</v>
      </c>
    </row>
    <row r="369" spans="1:7" ht="15" customHeight="1" x14ac:dyDescent="0.2">
      <c r="A369" t="str">
        <f>Ritorno!S53</f>
        <v>Torino</v>
      </c>
      <c r="B369" t="str">
        <f>IF(Ritorno!T53="","",Ritorno!T53)</f>
        <v/>
      </c>
      <c r="C369" t="str">
        <f>IF(Ritorno!U53="","",Ritorno!U53)</f>
        <v/>
      </c>
      <c r="D369" t="str">
        <f>Ritorno!V53</f>
        <v>Napoli</v>
      </c>
      <c r="E369" t="str">
        <f t="shared" si="26"/>
        <v/>
      </c>
      <c r="F369" t="str">
        <f t="shared" si="27"/>
        <v/>
      </c>
      <c r="G369">
        <f t="shared" si="28"/>
        <v>0</v>
      </c>
    </row>
    <row r="370" spans="1:7" ht="15" customHeight="1" x14ac:dyDescent="0.2">
      <c r="A370" t="str">
        <f>Ritorno!S54</f>
        <v>Udinese</v>
      </c>
      <c r="B370" t="str">
        <f>IF(Ritorno!T54="","",Ritorno!T54)</f>
        <v/>
      </c>
      <c r="C370" t="str">
        <f>IF(Ritorno!U54="","",Ritorno!U54)</f>
        <v/>
      </c>
      <c r="D370" t="str">
        <f>Ritorno!V54</f>
        <v>Sassuolo</v>
      </c>
      <c r="E370" t="str">
        <f t="shared" si="26"/>
        <v/>
      </c>
      <c r="F370" t="str">
        <f t="shared" si="27"/>
        <v/>
      </c>
      <c r="G370">
        <f t="shared" si="28"/>
        <v>0</v>
      </c>
    </row>
    <row r="371" spans="1:7" ht="15" customHeight="1" x14ac:dyDescent="0.2">
      <c r="A371" t="str">
        <f>Ritorno!S55</f>
        <v>Venezia</v>
      </c>
      <c r="B371" t="str">
        <f>IF(Ritorno!T55="","",Ritorno!T55)</f>
        <v/>
      </c>
      <c r="C371" t="str">
        <f>IF(Ritorno!U55="","",Ritorno!U55)</f>
        <v/>
      </c>
      <c r="D371" t="str">
        <f>Ritorno!V55</f>
        <v>Milan</v>
      </c>
      <c r="E371" t="str">
        <f t="shared" si="26"/>
        <v/>
      </c>
      <c r="F371" t="str">
        <f t="shared" si="27"/>
        <v/>
      </c>
      <c r="G371">
        <f t="shared" si="28"/>
        <v>0</v>
      </c>
    </row>
    <row r="372" spans="1:7" ht="15" customHeight="1" x14ac:dyDescent="0.2">
      <c r="A372" t="str">
        <f>Ritorno!Y46</f>
        <v>Bologna</v>
      </c>
      <c r="B372" t="str">
        <f>IF(Ritorno!Z46="","",Ritorno!Z46)</f>
        <v/>
      </c>
      <c r="C372" t="str">
        <f>IF(Ritorno!AA46="","",Ritorno!AA46)</f>
        <v/>
      </c>
      <c r="D372" t="str">
        <f>Ritorno!AB46</f>
        <v>Parma</v>
      </c>
      <c r="E372" t="str">
        <f t="shared" si="26"/>
        <v/>
      </c>
      <c r="F372" t="str">
        <f t="shared" si="27"/>
        <v/>
      </c>
      <c r="G372">
        <f t="shared" si="28"/>
        <v>0</v>
      </c>
    </row>
    <row r="373" spans="1:7" ht="15" customHeight="1" x14ac:dyDescent="0.2">
      <c r="A373" t="str">
        <f>Ritorno!Y47</f>
        <v>Cagliari</v>
      </c>
      <c r="B373" t="str">
        <f>IF(Ritorno!Z47="","",Ritorno!Z47)</f>
        <v/>
      </c>
      <c r="C373" t="str">
        <f>IF(Ritorno!AA47="","",Ritorno!AA47)</f>
        <v/>
      </c>
      <c r="D373" t="str">
        <f>Ritorno!AB47</f>
        <v>Roma</v>
      </c>
      <c r="E373" t="str">
        <f t="shared" si="26"/>
        <v/>
      </c>
      <c r="F373" t="str">
        <f t="shared" si="27"/>
        <v/>
      </c>
      <c r="G373">
        <f t="shared" si="28"/>
        <v>0</v>
      </c>
    </row>
    <row r="374" spans="1:7" ht="15" customHeight="1" x14ac:dyDescent="0.2">
      <c r="A374" t="str">
        <f>Ritorno!Y48</f>
        <v>Como</v>
      </c>
      <c r="B374" t="str">
        <f>IF(Ritorno!Z48="","",Ritorno!Z48)</f>
        <v/>
      </c>
      <c r="C374" t="str">
        <f>IF(Ritorno!AA48="","",Ritorno!AA48)</f>
        <v/>
      </c>
      <c r="D374" t="str">
        <f>Ritorno!AB48</f>
        <v>Genoa</v>
      </c>
      <c r="E374" t="str">
        <f t="shared" si="26"/>
        <v/>
      </c>
      <c r="F374" t="str">
        <f t="shared" si="27"/>
        <v/>
      </c>
      <c r="G374">
        <f t="shared" si="28"/>
        <v>0</v>
      </c>
    </row>
    <row r="375" spans="1:7" ht="15" customHeight="1" x14ac:dyDescent="0.2">
      <c r="A375" t="str">
        <f>Ritorno!Y49</f>
        <v>Juventus</v>
      </c>
      <c r="B375" t="str">
        <f>IF(Ritorno!Z49="","",Ritorno!Z49)</f>
        <v/>
      </c>
      <c r="C375" t="str">
        <f>IF(Ritorno!AA49="","",Ritorno!AA49)</f>
        <v/>
      </c>
      <c r="D375" t="str">
        <f>Ritorno!AB49</f>
        <v>Frosinone</v>
      </c>
      <c r="E375" t="str">
        <f t="shared" si="26"/>
        <v/>
      </c>
      <c r="F375" t="str">
        <f t="shared" si="27"/>
        <v/>
      </c>
      <c r="G375">
        <f t="shared" si="28"/>
        <v>0</v>
      </c>
    </row>
    <row r="376" spans="1:7" ht="15" customHeight="1" x14ac:dyDescent="0.2">
      <c r="A376" t="str">
        <f>Ritorno!Y50</f>
        <v>Lazio</v>
      </c>
      <c r="B376" t="str">
        <f>IF(Ritorno!Z50="","",Ritorno!Z50)</f>
        <v/>
      </c>
      <c r="C376" t="str">
        <f>IF(Ritorno!AA50="","",Ritorno!AA50)</f>
        <v/>
      </c>
      <c r="D376" t="str">
        <f>Ritorno!AB50</f>
        <v>Fiorentina</v>
      </c>
      <c r="E376" t="str">
        <f t="shared" si="26"/>
        <v/>
      </c>
      <c r="F376" t="str">
        <f t="shared" si="27"/>
        <v/>
      </c>
      <c r="G376">
        <f t="shared" si="28"/>
        <v>0</v>
      </c>
    </row>
    <row r="377" spans="1:7" ht="15" customHeight="1" x14ac:dyDescent="0.2">
      <c r="A377" t="str">
        <f>Ritorno!Y51</f>
        <v>Lecce</v>
      </c>
      <c r="B377" t="str">
        <f>IF(Ritorno!Z51="","",Ritorno!Z51)</f>
        <v/>
      </c>
      <c r="C377" t="str">
        <f>IF(Ritorno!AA51="","",Ritorno!AA51)</f>
        <v/>
      </c>
      <c r="D377" t="str">
        <f>Ritorno!AB51</f>
        <v>Venezia</v>
      </c>
      <c r="E377" t="str">
        <f t="shared" si="26"/>
        <v/>
      </c>
      <c r="F377" t="str">
        <f t="shared" si="27"/>
        <v/>
      </c>
      <c r="G377">
        <f t="shared" si="28"/>
        <v>0</v>
      </c>
    </row>
    <row r="378" spans="1:7" ht="15" customHeight="1" x14ac:dyDescent="0.2">
      <c r="A378" t="str">
        <f>Ritorno!Y52</f>
        <v>Milan</v>
      </c>
      <c r="B378" t="str">
        <f>IF(Ritorno!Z52="","",Ritorno!Z52)</f>
        <v/>
      </c>
      <c r="C378" t="str">
        <f>IF(Ritorno!AA52="","",Ritorno!AA52)</f>
        <v/>
      </c>
      <c r="D378" t="str">
        <f>Ritorno!AB52</f>
        <v>Udinese</v>
      </c>
      <c r="E378" t="str">
        <f t="shared" si="26"/>
        <v/>
      </c>
      <c r="F378" t="str">
        <f t="shared" si="27"/>
        <v/>
      </c>
      <c r="G378">
        <f t="shared" si="28"/>
        <v>0</v>
      </c>
    </row>
    <row r="379" spans="1:7" ht="15" customHeight="1" x14ac:dyDescent="0.2">
      <c r="A379" t="str">
        <f>Ritorno!Y53</f>
        <v>Monza</v>
      </c>
      <c r="B379" t="str">
        <f>IF(Ritorno!Z53="","",Ritorno!Z53)</f>
        <v/>
      </c>
      <c r="C379" t="str">
        <f>IF(Ritorno!AA53="","",Ritorno!AA53)</f>
        <v/>
      </c>
      <c r="D379" t="str">
        <f>Ritorno!AB53</f>
        <v>Torino</v>
      </c>
      <c r="E379" t="str">
        <f t="shared" si="26"/>
        <v/>
      </c>
      <c r="F379" t="str">
        <f t="shared" si="27"/>
        <v/>
      </c>
      <c r="G379">
        <f t="shared" si="28"/>
        <v>0</v>
      </c>
    </row>
    <row r="380" spans="1:7" ht="15" customHeight="1" x14ac:dyDescent="0.2">
      <c r="A380" t="str">
        <f>Ritorno!Y54</f>
        <v>Napoli</v>
      </c>
      <c r="B380" t="str">
        <f>IF(Ritorno!Z54="","",Ritorno!Z54)</f>
        <v/>
      </c>
      <c r="C380" t="str">
        <f>IF(Ritorno!AA54="","",Ritorno!AA54)</f>
        <v/>
      </c>
      <c r="D380" t="str">
        <f>Ritorno!AB54</f>
        <v>Atalanta</v>
      </c>
      <c r="E380" t="str">
        <f t="shared" si="26"/>
        <v/>
      </c>
      <c r="F380" t="str">
        <f t="shared" si="27"/>
        <v/>
      </c>
      <c r="G380">
        <f t="shared" si="28"/>
        <v>0</v>
      </c>
    </row>
    <row r="381" spans="1:7" ht="15" customHeight="1" x14ac:dyDescent="0.2">
      <c r="A381" t="str">
        <f>Ritorno!Y55</f>
        <v>Sassuolo</v>
      </c>
      <c r="B381" t="str">
        <f>IF(Ritorno!Z55="","",Ritorno!Z55)</f>
        <v/>
      </c>
      <c r="C381" t="str">
        <f>IF(Ritorno!AA55="","",Ritorno!AA55)</f>
        <v/>
      </c>
      <c r="D381" t="str">
        <f>Ritorno!AB55</f>
        <v>Inter</v>
      </c>
      <c r="E381" t="str">
        <f t="shared" si="26"/>
        <v/>
      </c>
      <c r="F381" t="str">
        <f t="shared" si="27"/>
        <v/>
      </c>
      <c r="G381">
        <f t="shared" si="28"/>
        <v>0</v>
      </c>
    </row>
  </sheetData>
  <sheetProtection password="DF75" sheet="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Andata</vt:lpstr>
      <vt:lpstr>Ritorno</vt:lpstr>
      <vt:lpstr>Classifica</vt:lpstr>
      <vt:lpstr>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Gianluca Finetti</cp:lastModifiedBy>
  <cp:revision>0</cp:revision>
  <dcterms:created xsi:type="dcterms:W3CDTF">2026-06-14T15:56:29Z</dcterms:created>
  <dcterms:modified xsi:type="dcterms:W3CDTF">2026-06-16T21:05:18Z</dcterms:modified>
  <dc:language>en-US</dc:language>
</cp:coreProperties>
</file>